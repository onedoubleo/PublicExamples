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home\Desktop\"/>
    </mc:Choice>
  </mc:AlternateContent>
  <bookViews>
    <workbookView xWindow="0" yWindow="0" windowWidth="28800" windowHeight="12105" activeTab="1"/>
  </bookViews>
  <sheets>
    <sheet name="Home" sheetId="13" r:id="rId1"/>
    <sheet name="Data" sheetId="2" r:id="rId2"/>
    <sheet name="Prices" sheetId="12" r:id="rId3"/>
    <sheet name="Sheet1" sheetId="14" r:id="rId4"/>
  </sheets>
  <functionGroups builtInGroupCount="18"/>
  <definedNames>
    <definedName name="_xlnm._FilterDatabase" localSheetId="1" hidden="1">Data!$A$1:$L$85</definedName>
    <definedName name="forex_rates_currencies" localSheetId="3">Sheet1!$A$1:$A$1221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4" i="13" l="1"/>
  <c r="C5" i="13"/>
  <c r="C6" i="13"/>
  <c r="C7" i="13"/>
  <c r="C8" i="13"/>
  <c r="D4" i="13"/>
  <c r="E4" i="13"/>
  <c r="F4" i="13"/>
  <c r="G4" i="13"/>
  <c r="H4" i="13"/>
  <c r="I4" i="13"/>
  <c r="J4" i="13"/>
  <c r="P4" i="13" s="1"/>
  <c r="D5" i="13"/>
  <c r="E5" i="13"/>
  <c r="F5" i="13"/>
  <c r="G5" i="13"/>
  <c r="H5" i="13"/>
  <c r="I5" i="13"/>
  <c r="J5" i="13"/>
  <c r="P5" i="13" s="1"/>
  <c r="D6" i="13"/>
  <c r="E6" i="13"/>
  <c r="F6" i="13"/>
  <c r="G6" i="13"/>
  <c r="H6" i="13"/>
  <c r="I6" i="13"/>
  <c r="J6" i="13"/>
  <c r="P6" i="13" s="1"/>
  <c r="D7" i="13"/>
  <c r="E7" i="13"/>
  <c r="F7" i="13"/>
  <c r="G7" i="13"/>
  <c r="H7" i="13"/>
  <c r="I7" i="13"/>
  <c r="J7" i="13"/>
  <c r="P7" i="13" s="1"/>
  <c r="D8" i="13"/>
  <c r="E8" i="13"/>
  <c r="F8" i="13"/>
  <c r="G8" i="13"/>
  <c r="H8" i="13"/>
  <c r="I8" i="13"/>
  <c r="J8" i="13"/>
  <c r="P8" i="13" s="1"/>
  <c r="K4" i="13"/>
  <c r="Q4" i="13" s="1"/>
  <c r="K5" i="13"/>
  <c r="K6" i="13"/>
  <c r="Q6" i="13" s="1"/>
  <c r="K7" i="13"/>
  <c r="K8" i="13"/>
  <c r="Q8" i="13" s="1"/>
  <c r="K3" i="13"/>
  <c r="J3" i="13"/>
  <c r="I3" i="13"/>
  <c r="H3" i="13"/>
  <c r="G3" i="13"/>
  <c r="F3" i="13"/>
  <c r="E3" i="13"/>
  <c r="D3" i="13"/>
  <c r="C3" i="13"/>
  <c r="L4" i="13"/>
  <c r="L5" i="13"/>
  <c r="L6" i="13"/>
  <c r="L7" i="13"/>
  <c r="L8" i="13"/>
  <c r="L3" i="13"/>
  <c r="B4" i="13"/>
  <c r="B5" i="13"/>
  <c r="B6" i="13"/>
  <c r="B7" i="13"/>
  <c r="B8" i="13"/>
  <c r="B3" i="13"/>
  <c r="N7" i="13" l="1"/>
  <c r="O4" i="13"/>
  <c r="Q7" i="13"/>
  <c r="O7" i="13"/>
  <c r="O5" i="13"/>
  <c r="Q5" i="13"/>
  <c r="N8" i="13"/>
  <c r="N4" i="13"/>
  <c r="O8" i="13"/>
  <c r="N5" i="13"/>
  <c r="N6" i="13"/>
  <c r="O6" i="13"/>
  <c r="O3" i="13"/>
  <c r="P3" i="13"/>
  <c r="N3" i="13" l="1"/>
  <c r="Q3" i="13"/>
</calcChain>
</file>

<file path=xl/connections.xml><?xml version="1.0" encoding="utf-8"?>
<connections xmlns="http://schemas.openxmlformats.org/spreadsheetml/2006/main">
  <connection id="1" name="Connection" type="4" refreshedVersion="5" background="1" saveData="1">
    <webPr sourceData="1" parsePre="1" consecutive="1" xl2000="1" url="https://www.dailyfx.com/forex-rates#currencies"/>
  </connection>
</connections>
</file>

<file path=xl/sharedStrings.xml><?xml version="1.0" encoding="utf-8"?>
<sst xmlns="http://schemas.openxmlformats.org/spreadsheetml/2006/main" count="1352" uniqueCount="622">
  <si>
    <t>EURGBP</t>
  </si>
  <si>
    <t>EURJPY</t>
  </si>
  <si>
    <t>EURUSD</t>
  </si>
  <si>
    <t>GBPJPY</t>
  </si>
  <si>
    <t>GBPUSD</t>
  </si>
  <si>
    <t>USDJPY</t>
  </si>
  <si>
    <t>Date</t>
  </si>
  <si>
    <t>Symbol</t>
  </si>
  <si>
    <t>QPL0</t>
  </si>
  <si>
    <t>QPL1</t>
  </si>
  <si>
    <t>QPL2</t>
  </si>
  <si>
    <t>QPL3</t>
  </si>
  <si>
    <t>QPL4</t>
  </si>
  <si>
    <t>QPL5</t>
  </si>
  <si>
    <t>QPL6</t>
  </si>
  <si>
    <t>QPL7</t>
  </si>
  <si>
    <t>High</t>
  </si>
  <si>
    <t>Low</t>
  </si>
  <si>
    <t>DateStr</t>
  </si>
  <si>
    <t>Yay/Nay</t>
  </si>
  <si>
    <t>Hi/Low</t>
  </si>
  <si>
    <t>Open/Price</t>
  </si>
  <si>
    <t>We use a range of cookies to give you the best possible browsing experience. By continuing to use this website, you agree to our use of cookies.</t>
  </si>
  <si>
    <t>You can learn more about our cookie policy here, or by following the link at the bottom of any page on our site.</t>
  </si>
  <si>
    <t>Accept</t>
  </si>
  <si>
    <t xml:space="preserve">Search Clear </t>
  </si>
  <si>
    <t>Search results</t>
  </si>
  <si>
    <t>See all results</t>
  </si>
  <si>
    <t>No entries matching your query were found.</t>
  </si>
  <si>
    <t xml:space="preserve">English Español Français Deutsch 中文（繁體） 中文（简体） </t>
  </si>
  <si>
    <t xml:space="preserve">Free Trading Guides </t>
  </si>
  <si>
    <t>Market News</t>
  </si>
  <si>
    <t xml:space="preserve">Market Overview </t>
  </si>
  <si>
    <t xml:space="preserve">Real-Time News </t>
  </si>
  <si>
    <t xml:space="preserve">Forecasts </t>
  </si>
  <si>
    <t xml:space="preserve">Market Outlook </t>
  </si>
  <si>
    <t>Market News Headlines</t>
  </si>
  <si>
    <t>British Pound (GBP) Latest: GBP/USD Sell-Off Eyes Support, FTSE Buoyed By Drug Hopes</t>
  </si>
  <si>
    <t xml:space="preserve">Apr 17, 2020 British Pound (GBP) Latest: GBP/USD Sell-Off Eyes Support, FTSE Buoyed By Drug Hopes </t>
  </si>
  <si>
    <t>Euro Outlook Gloomy as Covid-19 Amplifies Political Tension</t>
  </si>
  <si>
    <t xml:space="preserve">Apr 17, 2020 Euro Outlook Gloomy as Covid-19 Amplifies Political Tension </t>
  </si>
  <si>
    <t>Crude Oil Prices Rise on Hopes US to Emerge From Covid Lockdowns</t>
  </si>
  <si>
    <t xml:space="preserve">Apr 17, 2020 Crude Oil Prices Rise on Hopes US to Emerge From Covid Lockdowns </t>
  </si>
  <si>
    <t>Trading Strategies</t>
  </si>
  <si>
    <t xml:space="preserve">Strategies Overview </t>
  </si>
  <si>
    <t xml:space="preserve">Sentiment </t>
  </si>
  <si>
    <t xml:space="preserve">Analyst Picks </t>
  </si>
  <si>
    <t xml:space="preserve">Support &amp; Resistance </t>
  </si>
  <si>
    <t xml:space="preserve">Pivot Points </t>
  </si>
  <si>
    <t>Trading Strategies Headlines</t>
  </si>
  <si>
    <t>Silver Prices Aim Lower as Markets Hint Broad Selloff to Resume</t>
  </si>
  <si>
    <t xml:space="preserve">Apr 17, 2020 Silver Prices Aim Lower as Markets Hint Broad Selloff to Resume </t>
  </si>
  <si>
    <t>AUD/NZD Rally May be Cut Short as it Eyes Five-Year Resistance</t>
  </si>
  <si>
    <t xml:space="preserve">Apr 17, 2020 AUD/NZD Rally May be Cut Short as it Eyes Five-Year Resistance </t>
  </si>
  <si>
    <t>DAX 30, CAC 40, FTSE 100 Outlook Could Quickly Turn South</t>
  </si>
  <si>
    <t xml:space="preserve">Apr 16, 2020 DAX 30, CAC 40, FTSE 100 Outlook Could Quickly Turn South </t>
  </si>
  <si>
    <t>Market Data</t>
  </si>
  <si>
    <t xml:space="preserve">Rates </t>
  </si>
  <si>
    <t xml:space="preserve">Live Chart </t>
  </si>
  <si>
    <t>Asset classes</t>
  </si>
  <si>
    <t>Currency pairs Find out more about the major currency pairs and what impacts price movements.</t>
  </si>
  <si>
    <t>Commodities Our guide explores the most traded commodities worldwide and how to start trading them.</t>
  </si>
  <si>
    <t>Indices Get top insights on the most traded stock indices and what moves indices markets.</t>
  </si>
  <si>
    <t>Cryptocurrencies Find out more about top cryptocurrencies to trade and how to get started.</t>
  </si>
  <si>
    <t>Calendars</t>
  </si>
  <si>
    <t xml:space="preserve">Economic Calendar </t>
  </si>
  <si>
    <t xml:space="preserve">Central Bank Calendar </t>
  </si>
  <si>
    <t>Economic Calendar</t>
  </si>
  <si>
    <t>M</t>
  </si>
  <si>
    <t>GBP BOE's Haldane and Broadbent hold briefing.</t>
  </si>
  <si>
    <t xml:space="preserve">A: F: P: </t>
  </si>
  <si>
    <t>USD Leading Index (MAR)</t>
  </si>
  <si>
    <t>A: F: -7.0% P: 0.1%</t>
  </si>
  <si>
    <t>USD Baker Hughes U.S. Rig Count (APR 17)</t>
  </si>
  <si>
    <t>A: F: P: 602</t>
  </si>
  <si>
    <t>Education</t>
  </si>
  <si>
    <t xml:space="preserve">Trading courses </t>
  </si>
  <si>
    <t>Forex for Beginners</t>
  </si>
  <si>
    <t>Forex Trading Basics</t>
  </si>
  <si>
    <t>Learn Technical Analysis</t>
  </si>
  <si>
    <t>Bollinger Bands®</t>
  </si>
  <si>
    <t xml:space="preserve">Live Webinars </t>
  </si>
  <si>
    <t xml:space="preserve">Trading Research </t>
  </si>
  <si>
    <t>Trading Guides</t>
  </si>
  <si>
    <t>Get to grips with the basics of forex trading.</t>
  </si>
  <si>
    <t xml:space="preserve">New to Forex Trading Guide </t>
  </si>
  <si>
    <t>Learn what makes winners successful, and why the average trader loses.</t>
  </si>
  <si>
    <t xml:space="preserve">Traits of Successful Traders </t>
  </si>
  <si>
    <t>Get Your Free Introduction To Bitcoin Trading</t>
  </si>
  <si>
    <t xml:space="preserve">Introduction to Bitcoin Trading </t>
  </si>
  <si>
    <t>Explore Our Guides Selection</t>
  </si>
  <si>
    <t>About Us</t>
  </si>
  <si>
    <t xml:space="preserve">Company </t>
  </si>
  <si>
    <t xml:space="preserve">Authors </t>
  </si>
  <si>
    <t xml:space="preserve">Contact </t>
  </si>
  <si>
    <t>DailyFX operates in London, New York, Chicago, San Francisco, Dallas, Frankfurt, Shenzhen, Melbourne, Cracow, Johannesburg and Singapore. DailyFX employs dozens of analysts and strategists and provides timely and value added analysis to readers in English, Spanish, French, German and Chinese.</t>
  </si>
  <si>
    <t>English</t>
  </si>
  <si>
    <t xml:space="preserve">English </t>
  </si>
  <si>
    <t xml:space="preserve">Español </t>
  </si>
  <si>
    <t xml:space="preserve">Français </t>
  </si>
  <si>
    <t xml:space="preserve">Deutsch </t>
  </si>
  <si>
    <t xml:space="preserve">中文（繁體） </t>
  </si>
  <si>
    <t xml:space="preserve">中文（简体） </t>
  </si>
  <si>
    <t>Real Time News</t>
  </si>
  <si>
    <t>🇪🇺 EUR Euro-Zone Consumer Price Index (YoY) (MAR F), Actual: 0.7% Expected: 0.7% Previous: 1.2% https://www.dailyfx.com/economic-calendar#2020-04-17</t>
  </si>
  <si>
    <t>🇪🇺 EUR Euro-Zone Consumer Price Index Core (YoY) (MAR F), Actual: 1.0% Expected: 1.0% Previous: 1.0% https://www.dailyfx.com/economic-calendar#2020-04-17</t>
  </si>
  <si>
    <t>LIVE IN 30 MIN: Strategist @PaulRobinsonFX will run through his favorite charts and potential set-ups for the week ahead in the FX and CFDs market here - https://www.dailyfx.com/webinars/108721147?CHID=9&amp;QPID=917720&amp;utm_source=Twitter&amp;utm_medium=DFXGeneric&amp;utm_campaign=twr</t>
  </si>
  <si>
    <t>Heads Up:🇪🇺 EUR Euro-Zone Consumer Price Index Core (YoY) (MAR F) due at 09:00 GMT (15min), Actual: N/A Expected: 1.0% Previous: 1.0% https://www.dailyfx.com/economic-calendar#2020-04-17</t>
  </si>
  <si>
    <t>Heads Up:🇪🇺 EUR Euro-Zone Consumer Price Index (YoY) (MAR F) due at 09:00 GMT (15min), Actual: N/A Expected: 0.7% Previous: 1.2% https://www.dailyfx.com/economic-calendar#2020-04-17</t>
  </si>
  <si>
    <t>RT @DailyFXEspanol: En una hora, webinario dedicado a la operación con el indicador MACD ofrecido por @HathornSabin https://www.dailyfx.com/espanol/calendario-webinars/368337019</t>
  </si>
  <si>
    <t>Join @PaulRobinsonFX 's #webinar at 5:30 AM ET/9:30 AM GMT as he goes over London #FX &amp; #CFD charts for the next week. Register here: https://t.co/CoMkMA0pdF https://t.co/e5I1hJmwPU</t>
  </si>
  <si>
    <t>Análisis $GBPUSD: el optimismo se topa con el #Brexit, freno importante en 1.25 #gbp #usd #trading https://t.co/OOBwlGXeVc</t>
  </si>
  <si>
    <t>RT @JeremyNaylor_IG: With ugly economic data all around us no one cares anymore, but what about a #COVID19 trade to watch? @JMcQueenFX @IG…</t>
  </si>
  <si>
    <t>IG Client Sentiment Update: Our data shows the vast majority of traders in Ripple are long at 96.01%, while traders in US 500 are at opposite extremes with 78.95%. See the summary chart below and full details and charts on DailyFX: https://www.dailyfx.com/sentiment https://t.co/7oE6FuCs04</t>
  </si>
  <si>
    <t>Forex Rates</t>
  </si>
  <si>
    <t xml:space="preserve">Data provided by </t>
  </si>
  <si>
    <t>View live forex rates at a glance and be well placed to enter or exit a trade. You’ll find real-time rates on currencies, commodities, indices and cryptocurrencies, keeping you informed on price action and enabling consistent trading.</t>
  </si>
  <si>
    <t>Choose a tab to find out what’s driving FX rates, index trends or commodity pricing and click on any of the markets displayed. You’ll find a host of data on each market asset, including live price charts, breaking news, and expert insights.</t>
  </si>
  <si>
    <t xml:space="preserve">View more View less </t>
  </si>
  <si>
    <t>Advertisement</t>
  </si>
  <si>
    <t>Currencies</t>
  </si>
  <si>
    <t>Commodities</t>
  </si>
  <si>
    <t>Indices</t>
  </si>
  <si>
    <t>Cryptocurrencies</t>
  </si>
  <si>
    <t>Select</t>
  </si>
  <si>
    <t>Find out more about the major currency pairs and what impacts price movements.</t>
  </si>
  <si>
    <t xml:space="preserve">EUR/USD </t>
  </si>
  <si>
    <t>Mixed</t>
  </si>
  <si>
    <t xml:space="preserve">USD/JPY </t>
  </si>
  <si>
    <t>Bearish</t>
  </si>
  <si>
    <t xml:space="preserve">AUD/USD </t>
  </si>
  <si>
    <t xml:space="preserve">GBP/USD </t>
  </si>
  <si>
    <t xml:space="preserve">USD/CAD </t>
  </si>
  <si>
    <t xml:space="preserve">NZD/USD </t>
  </si>
  <si>
    <t xml:space="preserve">AUD/CAD </t>
  </si>
  <si>
    <t xml:space="preserve">AUD/JPY </t>
  </si>
  <si>
    <t xml:space="preserve">CAD/JPY </t>
  </si>
  <si>
    <t xml:space="preserve">CHF/JPY </t>
  </si>
  <si>
    <t xml:space="preserve">EUR/AUD </t>
  </si>
  <si>
    <t xml:space="preserve">EUR/CAD </t>
  </si>
  <si>
    <t xml:space="preserve">EUR/CHF </t>
  </si>
  <si>
    <t>Bullish</t>
  </si>
  <si>
    <t xml:space="preserve">EUR/GBP </t>
  </si>
  <si>
    <t xml:space="preserve">EUR/JPY </t>
  </si>
  <si>
    <t xml:space="preserve">GBP/CHF </t>
  </si>
  <si>
    <t xml:space="preserve">GBP/JPY </t>
  </si>
  <si>
    <t xml:space="preserve">USD/CHF </t>
  </si>
  <si>
    <t xml:space="preserve">USD/NOK </t>
  </si>
  <si>
    <t xml:space="preserve">USD/SEK </t>
  </si>
  <si>
    <t xml:space="preserve">AUD/CHF </t>
  </si>
  <si>
    <t xml:space="preserve">AUD/NZD </t>
  </si>
  <si>
    <t xml:space="preserve">CAD/CHF </t>
  </si>
  <si>
    <t xml:space="preserve">EUR/NOK </t>
  </si>
  <si>
    <t xml:space="preserve">EUR/NZD </t>
  </si>
  <si>
    <t xml:space="preserve">EUR/SEK </t>
  </si>
  <si>
    <t xml:space="preserve">EUR/TRY </t>
  </si>
  <si>
    <t xml:space="preserve">GBP/AUD </t>
  </si>
  <si>
    <t xml:space="preserve">GBP/CAD </t>
  </si>
  <si>
    <t xml:space="preserve">GBP/NZD </t>
  </si>
  <si>
    <t xml:space="preserve">NZD/CAD </t>
  </si>
  <si>
    <t xml:space="preserve">NZD/CHF </t>
  </si>
  <si>
    <t xml:space="preserve">NZD/JPY </t>
  </si>
  <si>
    <t xml:space="preserve">USD/CNH </t>
  </si>
  <si>
    <t xml:space="preserve">USD/MXN </t>
  </si>
  <si>
    <t xml:space="preserve">USD/TRY </t>
  </si>
  <si>
    <t xml:space="preserve">USD/ZAR </t>
  </si>
  <si>
    <t>Note: Low and High figures are for the trading day.</t>
  </si>
  <si>
    <t xml:space="preserve">EUR/USD Support &amp; Resistance </t>
  </si>
  <si>
    <t>S1 1.0802</t>
  </si>
  <si>
    <t>S2 1.0750</t>
  </si>
  <si>
    <t>S3 1.0650</t>
  </si>
  <si>
    <t>R1 1.0950</t>
  </si>
  <si>
    <t>R2 1.1053</t>
  </si>
  <si>
    <t>R3 1.11475</t>
  </si>
  <si>
    <t>Strong</t>
  </si>
  <si>
    <t>Moderate</t>
  </si>
  <si>
    <t>Weak</t>
  </si>
  <si>
    <t>Up</t>
  </si>
  <si>
    <t>Neutral</t>
  </si>
  <si>
    <t>Down</t>
  </si>
  <si>
    <t>News &amp; Analysis</t>
  </si>
  <si>
    <t xml:space="preserve">EUR/USD Forecast </t>
  </si>
  <si>
    <t>Euro Bearish</t>
  </si>
  <si>
    <t xml:space="preserve">Euro Forecast: EUR/USD Outlook Worsens as Aid Talks Accentuate Divisions </t>
  </si>
  <si>
    <t>US Dollar Neutral</t>
  </si>
  <si>
    <t xml:space="preserve">Weekly US Dollar Forecast: Unpleasant Week Ahead as Stimulus Arrives </t>
  </si>
  <si>
    <t xml:space="preserve">View more on EUR/USD </t>
  </si>
  <si>
    <t xml:space="preserve">USD/JPY Support &amp; Resistance </t>
  </si>
  <si>
    <t>S1 106.750</t>
  </si>
  <si>
    <t>S2 105.919</t>
  </si>
  <si>
    <t>S3 105.147</t>
  </si>
  <si>
    <t>R1 108.000</t>
  </si>
  <si>
    <t>R2 108.775</t>
  </si>
  <si>
    <t>R3 109.329</t>
  </si>
  <si>
    <t xml:space="preserve">USD/JPY Forecast </t>
  </si>
  <si>
    <t>Japanese Yen</t>
  </si>
  <si>
    <t xml:space="preserve">Japanese Yen Pressured as Big Problems Seem to Fade </t>
  </si>
  <si>
    <t xml:space="preserve">View more on USD/JPY </t>
  </si>
  <si>
    <t xml:space="preserve">AUD/USD Support &amp; Resistance </t>
  </si>
  <si>
    <t>S1 0.63025</t>
  </si>
  <si>
    <t>S2 0.62125</t>
  </si>
  <si>
    <t>S3 0.60000</t>
  </si>
  <si>
    <t>R1 0.64340</t>
  </si>
  <si>
    <t>R2 0.66700</t>
  </si>
  <si>
    <t>R3 0.68320</t>
  </si>
  <si>
    <t xml:space="preserve">AUD/USD Forecast </t>
  </si>
  <si>
    <t>Australian Dollar Bearish</t>
  </si>
  <si>
    <t xml:space="preserve">Australian Dollar Looks Nervously Towards Official Jobless Count </t>
  </si>
  <si>
    <t xml:space="preserve">View more on AUD/USD </t>
  </si>
  <si>
    <t xml:space="preserve">GBP/USD Support &amp; Resistance </t>
  </si>
  <si>
    <t>S1 1.2500</t>
  </si>
  <si>
    <t>S2 1.2200</t>
  </si>
  <si>
    <t>S3 1.2000</t>
  </si>
  <si>
    <t>R1 1.2725</t>
  </si>
  <si>
    <t>R2 1.2905</t>
  </si>
  <si>
    <t>R3 1.3175</t>
  </si>
  <si>
    <t xml:space="preserve">GBP/USD Forecast </t>
  </si>
  <si>
    <t>British Pound Bearish</t>
  </si>
  <si>
    <t xml:space="preserve">British Pound May Yet Fall on Brexit, BoE and Fed Are Risks </t>
  </si>
  <si>
    <t xml:space="preserve">View more on GBP/USD </t>
  </si>
  <si>
    <t xml:space="preserve">USD/CAD Support &amp; Resistance </t>
  </si>
  <si>
    <t>S1 1.4000</t>
  </si>
  <si>
    <t>S2 1.3855</t>
  </si>
  <si>
    <t>S3 1.3707</t>
  </si>
  <si>
    <t>R1 1.4200</t>
  </si>
  <si>
    <t>R2 1.4279</t>
  </si>
  <si>
    <t>R3 1.4350</t>
  </si>
  <si>
    <t xml:space="preserve">USD/CAD Forecast </t>
  </si>
  <si>
    <t>Canadian Dollar</t>
  </si>
  <si>
    <t xml:space="preserve">Canadian Dollar Forecast: USD/CAD Primed for Reversal with Oil </t>
  </si>
  <si>
    <t xml:space="preserve">View more on USD/CAD </t>
  </si>
  <si>
    <t xml:space="preserve">NZD/USD Support &amp; Resistance </t>
  </si>
  <si>
    <t>S1 0.5843</t>
  </si>
  <si>
    <t>S2 0.5750</t>
  </si>
  <si>
    <t>S3 0.5607</t>
  </si>
  <si>
    <t>R1 0.6131</t>
  </si>
  <si>
    <t>R2 0.6269</t>
  </si>
  <si>
    <t>R3 0.6447</t>
  </si>
  <si>
    <t xml:space="preserve">NZD/USD Forecast </t>
  </si>
  <si>
    <t>New Zealand Dollar Bearish</t>
  </si>
  <si>
    <t xml:space="preserve">NZD/USD Looks Vulnerable. How Dovish Will the RBNZ Turn Next Week? </t>
  </si>
  <si>
    <t xml:space="preserve">View more on NZD/USD </t>
  </si>
  <si>
    <t xml:space="preserve">AUD/CAD Forecast </t>
  </si>
  <si>
    <t xml:space="preserve">View more on AUD/CAD </t>
  </si>
  <si>
    <t xml:space="preserve">AUD/JPY Forecast </t>
  </si>
  <si>
    <t xml:space="preserve">View more on AUD/JPY </t>
  </si>
  <si>
    <t xml:space="preserve">CAD/JPY Forecast </t>
  </si>
  <si>
    <t xml:space="preserve">View more on CAD/JPY </t>
  </si>
  <si>
    <t xml:space="preserve">CHF/JPY Forecast </t>
  </si>
  <si>
    <t xml:space="preserve">View more on CHF/JPY </t>
  </si>
  <si>
    <t xml:space="preserve">EUR/AUD Forecast </t>
  </si>
  <si>
    <t xml:space="preserve">View more on EUR/AUD </t>
  </si>
  <si>
    <t xml:space="preserve">EUR/CAD Forecast </t>
  </si>
  <si>
    <t xml:space="preserve">View more on EUR/CAD </t>
  </si>
  <si>
    <t xml:space="preserve">EUR/CHF Forecast </t>
  </si>
  <si>
    <t xml:space="preserve">View more on EUR/CHF </t>
  </si>
  <si>
    <t xml:space="preserve">EUR/GBP Support &amp; Resistance </t>
  </si>
  <si>
    <t>S1 0.86211</t>
  </si>
  <si>
    <t>S2 0.84719</t>
  </si>
  <si>
    <t>S3 0.82970</t>
  </si>
  <si>
    <t>R1 0.87860</t>
  </si>
  <si>
    <t>R2 0.89954</t>
  </si>
  <si>
    <t>R3 0.91500</t>
  </si>
  <si>
    <t xml:space="preserve">EUR/GBP Forecast </t>
  </si>
  <si>
    <t xml:space="preserve">View more on EUR/GBP </t>
  </si>
  <si>
    <t xml:space="preserve">EUR/JPY Support &amp; Resistance </t>
  </si>
  <si>
    <t>S1 117.00</t>
  </si>
  <si>
    <t>S2 116.50</t>
  </si>
  <si>
    <t>S3 116.00</t>
  </si>
  <si>
    <t>R1 117.75</t>
  </si>
  <si>
    <t>R2 119.02</t>
  </si>
  <si>
    <t>R3 119.70</t>
  </si>
  <si>
    <t xml:space="preserve">EUR/JPY Forecast </t>
  </si>
  <si>
    <t xml:space="preserve">View more on EUR/JPY </t>
  </si>
  <si>
    <t xml:space="preserve">GBP/CHF Forecast </t>
  </si>
  <si>
    <t xml:space="preserve">View more on GBP/CHF </t>
  </si>
  <si>
    <t xml:space="preserve">GBP/JPY Support &amp; Resistance </t>
  </si>
  <si>
    <t>S1 132.00</t>
  </si>
  <si>
    <t>S2 129.50</t>
  </si>
  <si>
    <t>S3 127.34</t>
  </si>
  <si>
    <t>R1 136.94</t>
  </si>
  <si>
    <t>R2 139.18</t>
  </si>
  <si>
    <t>R3 140.93</t>
  </si>
  <si>
    <t xml:space="preserve">GBP/JPY Forecast </t>
  </si>
  <si>
    <t xml:space="preserve">View more on GBP/JPY </t>
  </si>
  <si>
    <t xml:space="preserve">USD/CHF Support &amp; Resistance </t>
  </si>
  <si>
    <t>S1 0.9570</t>
  </si>
  <si>
    <t>S2 0.95025</t>
  </si>
  <si>
    <t>S3 0.9400</t>
  </si>
  <si>
    <t>R1 0.9700</t>
  </si>
  <si>
    <t>R2 0.9840</t>
  </si>
  <si>
    <t>R3 0.9950</t>
  </si>
  <si>
    <t xml:space="preserve">USD/CHF Forecast </t>
  </si>
  <si>
    <t xml:space="preserve">View more on USD/CHF </t>
  </si>
  <si>
    <t xml:space="preserve">USD/NOK Forecast </t>
  </si>
  <si>
    <t xml:space="preserve">View more on USD/NOK </t>
  </si>
  <si>
    <t xml:space="preserve">USD/SEK Forecast </t>
  </si>
  <si>
    <t xml:space="preserve">View more on USD/SEK </t>
  </si>
  <si>
    <t xml:space="preserve">AUD/CHF Forecast </t>
  </si>
  <si>
    <t xml:space="preserve">View more on AUD/CHF </t>
  </si>
  <si>
    <t xml:space="preserve">AUD/NZD Forecast </t>
  </si>
  <si>
    <t xml:space="preserve">View more on AUD/NZD </t>
  </si>
  <si>
    <t xml:space="preserve">CAD/CHF Forecast </t>
  </si>
  <si>
    <t xml:space="preserve">View more on CAD/CHF </t>
  </si>
  <si>
    <t xml:space="preserve">EUR/NOK Forecast </t>
  </si>
  <si>
    <t xml:space="preserve">View more on EUR/NOK </t>
  </si>
  <si>
    <t xml:space="preserve">EUR/NZD Forecast </t>
  </si>
  <si>
    <t xml:space="preserve">View more on EUR/NZD </t>
  </si>
  <si>
    <t xml:space="preserve">EUR/SEK Forecast </t>
  </si>
  <si>
    <t xml:space="preserve">View more on EUR/SEK </t>
  </si>
  <si>
    <t xml:space="preserve">EUR/TRY Forecast </t>
  </si>
  <si>
    <t xml:space="preserve">View more on EUR/TRY </t>
  </si>
  <si>
    <t xml:space="preserve">GBP/AUD Forecast </t>
  </si>
  <si>
    <t xml:space="preserve">View more on GBP/AUD </t>
  </si>
  <si>
    <t xml:space="preserve">GBP/CAD Forecast </t>
  </si>
  <si>
    <t xml:space="preserve">View more on GBP/CAD </t>
  </si>
  <si>
    <t xml:space="preserve">GBP/NZD Forecast </t>
  </si>
  <si>
    <t xml:space="preserve">View more on GBP/NZD </t>
  </si>
  <si>
    <t xml:space="preserve">NZD/CAD Forecast </t>
  </si>
  <si>
    <t xml:space="preserve">View more on NZD/CAD </t>
  </si>
  <si>
    <t xml:space="preserve">NZD/CHF Forecast </t>
  </si>
  <si>
    <t xml:space="preserve">View more on NZD/CHF </t>
  </si>
  <si>
    <t xml:space="preserve">NZD/JPY Forecast </t>
  </si>
  <si>
    <t xml:space="preserve">View more on NZD/JPY </t>
  </si>
  <si>
    <t xml:space="preserve">USD/CNH Support &amp; Resistance </t>
  </si>
  <si>
    <t>S1 7.09194</t>
  </si>
  <si>
    <t>S2 7.0550</t>
  </si>
  <si>
    <t>S3 7.0165</t>
  </si>
  <si>
    <t>R1 7.1325</t>
  </si>
  <si>
    <t>R2 7.1575</t>
  </si>
  <si>
    <t>R3 7.1959</t>
  </si>
  <si>
    <t xml:space="preserve">USD/CNH Forecast </t>
  </si>
  <si>
    <t xml:space="preserve">View more on USD/CNH </t>
  </si>
  <si>
    <t xml:space="preserve">USD/MXN Forecast </t>
  </si>
  <si>
    <t xml:space="preserve">View more on USD/MXN </t>
  </si>
  <si>
    <t xml:space="preserve">USD/TRY Forecast </t>
  </si>
  <si>
    <t xml:space="preserve">View more on USD/TRY </t>
  </si>
  <si>
    <t xml:space="preserve">USD/ZAR Forecast </t>
  </si>
  <si>
    <t xml:space="preserve">View more on USD/ZAR </t>
  </si>
  <si>
    <t>Our guide explores the most traded commodities worldwide and how to start trading them.</t>
  </si>
  <si>
    <t xml:space="preserve">Gold </t>
  </si>
  <si>
    <t xml:space="preserve">Silver </t>
  </si>
  <si>
    <t xml:space="preserve">Oil - US Crude </t>
  </si>
  <si>
    <t xml:space="preserve">Oil - Brent Crude </t>
  </si>
  <si>
    <t xml:space="preserve">Copper </t>
  </si>
  <si>
    <t xml:space="preserve">Natural Gas </t>
  </si>
  <si>
    <t xml:space="preserve">Gold Support &amp; Resistance </t>
  </si>
  <si>
    <t>S1 1700.00</t>
  </si>
  <si>
    <t>S2 1681.41</t>
  </si>
  <si>
    <t>S3 1638.40</t>
  </si>
  <si>
    <t>R1 1754.50</t>
  </si>
  <si>
    <t>R2 1796.00</t>
  </si>
  <si>
    <t>R3 1814.90</t>
  </si>
  <si>
    <t xml:space="preserve">Gold Forecast </t>
  </si>
  <si>
    <t>Gold</t>
  </si>
  <si>
    <t xml:space="preserve">Gold Price Rebound May Fizzle on Coronavirus Economic Impact </t>
  </si>
  <si>
    <t xml:space="preserve">View more on Gold </t>
  </si>
  <si>
    <t xml:space="preserve">Silver Support &amp; Resistance </t>
  </si>
  <si>
    <t>S1 14.900</t>
  </si>
  <si>
    <t>S2 13.750</t>
  </si>
  <si>
    <t>S3 11.641</t>
  </si>
  <si>
    <t>R1 16.000</t>
  </si>
  <si>
    <t>R2 16.531</t>
  </si>
  <si>
    <t>R3 17.327</t>
  </si>
  <si>
    <t xml:space="preserve">View more on Silver </t>
  </si>
  <si>
    <t xml:space="preserve">Oil - US Crude Support &amp; Resistance </t>
  </si>
  <si>
    <t>S1 19.25</t>
  </si>
  <si>
    <t>S2 18.50</t>
  </si>
  <si>
    <t>S3 17.12</t>
  </si>
  <si>
    <t>R1 21.66</t>
  </si>
  <si>
    <t>R2 24.00</t>
  </si>
  <si>
    <t>R3 25.86</t>
  </si>
  <si>
    <t xml:space="preserve">View more on Oil - US Crude </t>
  </si>
  <si>
    <t xml:space="preserve">View more on Oil - Brent Crude </t>
  </si>
  <si>
    <t xml:space="preserve">View more on Copper </t>
  </si>
  <si>
    <t xml:space="preserve">View more on Natural Gas </t>
  </si>
  <si>
    <t>Get top insights on the most traded stock indices and what moves indices markets.</t>
  </si>
  <si>
    <t xml:space="preserve">USDOLLAR </t>
  </si>
  <si>
    <t xml:space="preserve">US 500 </t>
  </si>
  <si>
    <t xml:space="preserve">Wall Street </t>
  </si>
  <si>
    <t xml:space="preserve">US Tech 100 </t>
  </si>
  <si>
    <t xml:space="preserve">Germany 30 </t>
  </si>
  <si>
    <t xml:space="preserve">FTSE 100 </t>
  </si>
  <si>
    <t xml:space="preserve">Australia 200 </t>
  </si>
  <si>
    <t xml:space="preserve">Japan 225 </t>
  </si>
  <si>
    <t xml:space="preserve">France 40 </t>
  </si>
  <si>
    <t xml:space="preserve">Hong Kong HS50 </t>
  </si>
  <si>
    <t xml:space="preserve">IBEX 35 </t>
  </si>
  <si>
    <t xml:space="preserve">EU Stocks 50 </t>
  </si>
  <si>
    <t xml:space="preserve">Bund </t>
  </si>
  <si>
    <t xml:space="preserve">USDOLLAR Support &amp; Resistance </t>
  </si>
  <si>
    <t>S1 98.858</t>
  </si>
  <si>
    <t>S2 98.270</t>
  </si>
  <si>
    <t>S3 97.75</t>
  </si>
  <si>
    <t>R1 99.888</t>
  </si>
  <si>
    <t>R2 100.51</t>
  </si>
  <si>
    <t>R3 101.65</t>
  </si>
  <si>
    <t xml:space="preserve">View more on USDOLLAR </t>
  </si>
  <si>
    <t xml:space="preserve">US 500 Support &amp; Resistance </t>
  </si>
  <si>
    <t>S1 2650</t>
  </si>
  <si>
    <t>S2 2467</t>
  </si>
  <si>
    <t>S3 2355</t>
  </si>
  <si>
    <t>R1 2933</t>
  </si>
  <si>
    <t>R2 3000</t>
  </si>
  <si>
    <t>R3 3138</t>
  </si>
  <si>
    <t xml:space="preserve">View more on US 500 </t>
  </si>
  <si>
    <t xml:space="preserve">Wall Street Support &amp; Resistance </t>
  </si>
  <si>
    <t>S1 20531.26</t>
  </si>
  <si>
    <t>S2 18213.65</t>
  </si>
  <si>
    <t>S3 17465.68</t>
  </si>
  <si>
    <t>R1 22595.06</t>
  </si>
  <si>
    <t>R2 23328.32</t>
  </si>
  <si>
    <t>R3 24681.01</t>
  </si>
  <si>
    <t xml:space="preserve">View more on Wall Street </t>
  </si>
  <si>
    <t xml:space="preserve">View more on US Tech 100 </t>
  </si>
  <si>
    <t xml:space="preserve">Germany 30 Support &amp; Resistance </t>
  </si>
  <si>
    <t>S1 9985.75</t>
  </si>
  <si>
    <t>S2 9200.07</t>
  </si>
  <si>
    <t>S3 8255.65</t>
  </si>
  <si>
    <t>R1 10820.17</t>
  </si>
  <si>
    <t>R2 11032.29</t>
  </si>
  <si>
    <t>R3 11620.64</t>
  </si>
  <si>
    <t xml:space="preserve">View more on Germany 30 </t>
  </si>
  <si>
    <t xml:space="preserve">FTSE 100 Support &amp; Resistance </t>
  </si>
  <si>
    <t>S1 5466.98</t>
  </si>
  <si>
    <t>S2 5198.17</t>
  </si>
  <si>
    <t>S3 4947.95</t>
  </si>
  <si>
    <t>R1 6000.00</t>
  </si>
  <si>
    <t>R2 6227.52</t>
  </si>
  <si>
    <t>R3 6443.70</t>
  </si>
  <si>
    <t xml:space="preserve">View more on FTSE 100 </t>
  </si>
  <si>
    <t xml:space="preserve">View more on Australia 200 </t>
  </si>
  <si>
    <t xml:space="preserve">Japan 225 Support &amp; Resistance </t>
  </si>
  <si>
    <t>S1 19000.00</t>
  </si>
  <si>
    <t>S2 18156.69</t>
  </si>
  <si>
    <t>S3 16378.94</t>
  </si>
  <si>
    <t>R1 19750.00</t>
  </si>
  <si>
    <t>R2 20250.00</t>
  </si>
  <si>
    <t>R3 21050.39</t>
  </si>
  <si>
    <t xml:space="preserve">View more on Japan 225 </t>
  </si>
  <si>
    <t xml:space="preserve">France 40 Support &amp; Resistance </t>
  </si>
  <si>
    <t>S1 4109.11</t>
  </si>
  <si>
    <t>S2 3789.11</t>
  </si>
  <si>
    <t>S3 3632.06</t>
  </si>
  <si>
    <t>R1 4543.58</t>
  </si>
  <si>
    <t>R2 4753.72</t>
  </si>
  <si>
    <t>R3 5000.00</t>
  </si>
  <si>
    <t xml:space="preserve">View more on France 40 </t>
  </si>
  <si>
    <t xml:space="preserve">View more on Hong Kong HS50 </t>
  </si>
  <si>
    <t xml:space="preserve">View more on IBEX 35 </t>
  </si>
  <si>
    <t xml:space="preserve">View more on EU Stocks 50 </t>
  </si>
  <si>
    <t xml:space="preserve">View more on Bund </t>
  </si>
  <si>
    <t>Find out more about top cryptocurrencies to trade and how to get started.</t>
  </si>
  <si>
    <t xml:space="preserve">Bitcoin </t>
  </si>
  <si>
    <t xml:space="preserve">Ethereum </t>
  </si>
  <si>
    <t xml:space="preserve">Ripple </t>
  </si>
  <si>
    <t xml:space="preserve">Litecoin </t>
  </si>
  <si>
    <t xml:space="preserve">Bitcoin Support &amp; Resistance </t>
  </si>
  <si>
    <t>S1 5990</t>
  </si>
  <si>
    <t>S2 5670</t>
  </si>
  <si>
    <t>S3 5050</t>
  </si>
  <si>
    <t>R1 7140</t>
  </si>
  <si>
    <t>R2 7590</t>
  </si>
  <si>
    <t>R3 8185</t>
  </si>
  <si>
    <t xml:space="preserve">View more on Bitcoin </t>
  </si>
  <si>
    <t xml:space="preserve">Ethereum Support &amp; Resistance </t>
  </si>
  <si>
    <t>S1 115.50</t>
  </si>
  <si>
    <t>S2 110.66</t>
  </si>
  <si>
    <t>S3 88.20</t>
  </si>
  <si>
    <t>R1 153.48</t>
  </si>
  <si>
    <t>R2 181.72</t>
  </si>
  <si>
    <t>R3 200.00</t>
  </si>
  <si>
    <t xml:space="preserve">View more on Ethereum </t>
  </si>
  <si>
    <t xml:space="preserve">Ripple Support &amp; Resistance </t>
  </si>
  <si>
    <t>S1 0.1620</t>
  </si>
  <si>
    <t>S2 0.1450</t>
  </si>
  <si>
    <t>S3 0.1275</t>
  </si>
  <si>
    <t>R1 0.2000</t>
  </si>
  <si>
    <t>R2 0.2225</t>
  </si>
  <si>
    <t>R3 0.2450</t>
  </si>
  <si>
    <t xml:space="preserve">View more on Ripple </t>
  </si>
  <si>
    <t xml:space="preserve">View more on Litecoin </t>
  </si>
  <si>
    <t>Slug</t>
  </si>
  <si>
    <t>76% of retail CFD accounts lose money 76% of retail CFD accounts lose money Trading forex carries a high level of risk</t>
  </si>
  <si>
    <t xml:space="preserve">Market News </t>
  </si>
  <si>
    <t xml:space="preserve">Trading Strategies </t>
  </si>
  <si>
    <t xml:space="preserve">Market Data </t>
  </si>
  <si>
    <t xml:space="preserve">Calendars </t>
  </si>
  <si>
    <t xml:space="preserve">Central Bank Rates </t>
  </si>
  <si>
    <t xml:space="preserve">Education </t>
  </si>
  <si>
    <t xml:space="preserve">DailyFX </t>
  </si>
  <si>
    <t xml:space="preserve">About Us </t>
  </si>
  <si>
    <t xml:space="preserve">Archive </t>
  </si>
  <si>
    <t xml:space="preserve">Cookies Risk Warning Privacy T&amp;C </t>
  </si>
  <si>
    <t>Leveraged trading in foreign currency or off-exchange products on margin carries significant risk and may not be suitable for all investors. We advise you to carefully consider whether trading is appropriate for you based on your personal circumstances. Forex trading involves risk. Losses can exceed deposits. We recommend that you seek independent advice and ensure you fully understand the risks involved before trading.</t>
  </si>
  <si>
    <t>FX Publications Inc (dba DailyFX) is registered with the Commodities Futures Trading Commission as a Guaranteed Introducing Broker and is a member of the National Futures Association (ID# 0517400). Registered Address: 32 Old Slip, Suite 803; New York, NY 10005. FX Publications Inc is a subsidiary of IG US Holdings, Inc (a company registered in Delaware under number 4456365)</t>
  </si>
  <si>
    <t>logo</t>
  </si>
  <si>
    <t>News &amp; Analysis at your fingertips.</t>
  </si>
  <si>
    <t>Install</t>
  </si>
  <si>
    <t>pixel</t>
  </si>
  <si>
    <t>AUDCAD</t>
  </si>
  <si>
    <t>AUDCHF</t>
  </si>
  <si>
    <t>AUDCNH</t>
  </si>
  <si>
    <t>AUDJPY</t>
  </si>
  <si>
    <t>AUDNOK</t>
  </si>
  <si>
    <t>AUDNZD</t>
  </si>
  <si>
    <t>AUDPLN</t>
  </si>
  <si>
    <t>AUDSGD</t>
  </si>
  <si>
    <t>AUDUSD</t>
  </si>
  <si>
    <t>CADCHF</t>
  </si>
  <si>
    <t>CADJPY</t>
  </si>
  <si>
    <t>CADNOK</t>
  </si>
  <si>
    <t>CADPLN</t>
  </si>
  <si>
    <t>CHFHUF</t>
  </si>
  <si>
    <t>CHFJPY</t>
  </si>
  <si>
    <t>CHFNOK</t>
  </si>
  <si>
    <t>CHFPLN</t>
  </si>
  <si>
    <t>CNHJPY</t>
  </si>
  <si>
    <t>EURAUD</t>
  </si>
  <si>
    <t>EURCAD</t>
  </si>
  <si>
    <t>EURCHF</t>
  </si>
  <si>
    <t>EURCNH</t>
  </si>
  <si>
    <t>EURCZK</t>
  </si>
  <si>
    <t>EURDKK</t>
  </si>
  <si>
    <t>EURHKD</t>
  </si>
  <si>
    <t>EURHUF</t>
  </si>
  <si>
    <t>EURMXN</t>
  </si>
  <si>
    <t>EURNOK</t>
  </si>
  <si>
    <t>EURNZD</t>
  </si>
  <si>
    <t>EURPLN</t>
  </si>
  <si>
    <t>EURRON</t>
  </si>
  <si>
    <t>EURRUB</t>
  </si>
  <si>
    <t>EURSEK</t>
  </si>
  <si>
    <t>EURSGD</t>
  </si>
  <si>
    <t>EURTRY</t>
  </si>
  <si>
    <t>EURZAR</t>
  </si>
  <si>
    <t>GBPAUD</t>
  </si>
  <si>
    <t>GBPCAD</t>
  </si>
  <si>
    <t>GBPCHF</t>
  </si>
  <si>
    <t>GBPDKK</t>
  </si>
  <si>
    <t>GBPHKD</t>
  </si>
  <si>
    <t>GBPMXN</t>
  </si>
  <si>
    <t>GBPNOK</t>
  </si>
  <si>
    <t>GBPNZD</t>
  </si>
  <si>
    <t>GBPPLN</t>
  </si>
  <si>
    <t>GBPSEK</t>
  </si>
  <si>
    <t>GBPSGD</t>
  </si>
  <si>
    <t>GBPZAR</t>
  </si>
  <si>
    <t>HKDJPY</t>
  </si>
  <si>
    <t>NOKDKK</t>
  </si>
  <si>
    <t>NOKJPY</t>
  </si>
  <si>
    <t>NOKSEK</t>
  </si>
  <si>
    <t>NZDCAD</t>
  </si>
  <si>
    <t>NZDCHF</t>
  </si>
  <si>
    <t>NZDJPY</t>
  </si>
  <si>
    <t>NZDUSD</t>
  </si>
  <si>
    <t>SGDHKD</t>
  </si>
  <si>
    <t>SGDJPY</t>
  </si>
  <si>
    <t>TRYJPY</t>
  </si>
  <si>
    <t>USDCAD</t>
  </si>
  <si>
    <t>USDCHF</t>
  </si>
  <si>
    <t>USDCZK</t>
  </si>
  <si>
    <t>USDDKK</t>
  </si>
  <si>
    <t>USDHKD</t>
  </si>
  <si>
    <t>USDHUF</t>
  </si>
  <si>
    <t>USDILS</t>
  </si>
  <si>
    <t>USDMXN</t>
  </si>
  <si>
    <t>USDNOK</t>
  </si>
  <si>
    <t>USDPLN</t>
  </si>
  <si>
    <t>USDRON</t>
  </si>
  <si>
    <t>USDRUB</t>
  </si>
  <si>
    <t>USDSEK</t>
  </si>
  <si>
    <t>USDSGD</t>
  </si>
  <si>
    <t>USDTHB</t>
  </si>
  <si>
    <t>USDTRY</t>
  </si>
  <si>
    <t>USDCNH</t>
  </si>
  <si>
    <t>USDZAR</t>
  </si>
  <si>
    <t>ZARJPY</t>
  </si>
  <si>
    <t>BTCEUR</t>
  </si>
  <si>
    <t>BTCUSD</t>
  </si>
  <si>
    <t>BTCJPY</t>
  </si>
  <si>
    <t>XAGUSD</t>
  </si>
  <si>
    <t>XAUAUD</t>
  </si>
  <si>
    <t>XAUCHF</t>
  </si>
  <si>
    <t>XAUEUR</t>
  </si>
  <si>
    <t>XAUGBP</t>
  </si>
  <si>
    <t>XAUJPY</t>
  </si>
  <si>
    <t>XAUUSD</t>
  </si>
  <si>
    <t>COPPER</t>
  </si>
  <si>
    <t>PALLAD</t>
  </si>
  <si>
    <t>PLAT</t>
  </si>
  <si>
    <t>UK_OIL</t>
  </si>
  <si>
    <t>CORN</t>
  </si>
  <si>
    <t>US_OIL</t>
  </si>
  <si>
    <t>HTG_OIL</t>
  </si>
  <si>
    <t>US_NATG</t>
  </si>
  <si>
    <t>COTTON</t>
  </si>
  <si>
    <t>SOYBEAN</t>
  </si>
  <si>
    <t>SUGAR</t>
  </si>
  <si>
    <t>AUS200</t>
  </si>
  <si>
    <t>FRA40</t>
  </si>
  <si>
    <t>CHINAA50</t>
  </si>
  <si>
    <t>GER30</t>
  </si>
  <si>
    <t>US30</t>
  </si>
  <si>
    <t>ESTX50</t>
  </si>
  <si>
    <t>UK100</t>
  </si>
  <si>
    <t>HK50</t>
  </si>
  <si>
    <t>IT40</t>
  </si>
  <si>
    <t>NAS100</t>
  </si>
  <si>
    <t>N25</t>
  </si>
  <si>
    <t>JPN225</t>
  </si>
  <si>
    <t>SIGI</t>
  </si>
  <si>
    <t>ESP35</t>
  </si>
  <si>
    <t>SPX500</t>
  </si>
  <si>
    <t>SWISS20</t>
  </si>
  <si>
    <t>US2000</t>
  </si>
  <si>
    <t>BCHUSD</t>
  </si>
  <si>
    <t>ETH</t>
  </si>
  <si>
    <t>BTGUSD</t>
  </si>
  <si>
    <t>EOSUSD</t>
  </si>
  <si>
    <t>LTC_Mini</t>
  </si>
  <si>
    <t>2020.09.22 02:00</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</si>
</sst>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5">
    <xf numFmtId="0" fontId="0" fillId="0" borderId="0" xfId="0"/>
    <xf numFmtId="14" fontId="0" fillId="0" borderId="0" xfId="0" applyNumberFormat="1"/>
    <xf numFmtId="10" fontId="0" fillId="0" borderId="0" xfId="1" applyNumberFormat="1" applyFont="1"/>
    <xf numFmtId="21" fontId="0" fillId="0" borderId="0" xfId="0" applyNumberFormat="1"/>
    <xf numFmtId="22" fontId="0" fillId="0" borderId="0" xfId="0" applyNumberFormat="1"/>
  </cellXfs>
  <cellStyles count="2">
    <cellStyle name="Normal" xfId="0" builtinId="0"/>
    <cellStyle name="Percent" xfId="1" builtinId="5"/>
  </cellStyles>
  <dxfs count="2">
    <dxf>
      <fill>
        <patternFill>
          <bgColor rgb="FF92D05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17</xdr:col>
      <xdr:colOff>561975</xdr:colOff>
      <xdr:row>3</xdr:row>
      <xdr:rowOff>57150</xdr:rowOff>
    </xdr:from>
    <xdr:to>
      <xdr:col>20</xdr:col>
      <xdr:colOff>95250</xdr:colOff>
      <xdr:row>6</xdr:row>
      <xdr:rowOff>0</xdr:rowOff>
    </xdr:to>
    <xdr:sp macro="[0]!ScrapeQPLData" textlink="">
      <xdr:nvSpPr>
        <xdr:cNvPr id="2" name="Rounded Rectangle 1"/>
        <xdr:cNvSpPr/>
      </xdr:nvSpPr>
      <xdr:spPr>
        <a:xfrm>
          <a:off x="11468100" y="628650"/>
          <a:ext cx="1362075" cy="514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100"/>
            <a:t>Load New</a:t>
          </a:r>
          <a:r>
            <a:rPr lang="en-IE" sz="1100" baseline="0"/>
            <a:t> Day</a:t>
          </a:r>
        </a:p>
      </xdr:txBody>
    </xdr:sp>
    <xdr:clientData/>
  </xdr:twoCellAnchor>
  <xdr:twoCellAnchor>
    <xdr:from>
      <xdr:col>17</xdr:col>
      <xdr:colOff>561975</xdr:colOff>
      <xdr:row>6</xdr:row>
      <xdr:rowOff>142875</xdr:rowOff>
    </xdr:from>
    <xdr:to>
      <xdr:col>20</xdr:col>
      <xdr:colOff>95250</xdr:colOff>
      <xdr:row>9</xdr:row>
      <xdr:rowOff>85725</xdr:rowOff>
    </xdr:to>
    <xdr:sp macro="" textlink="">
      <xdr:nvSpPr>
        <xdr:cNvPr id="3" name="Rounded Rectangle 2"/>
        <xdr:cNvSpPr/>
      </xdr:nvSpPr>
      <xdr:spPr>
        <a:xfrm>
          <a:off x="11468100" y="1285875"/>
          <a:ext cx="1362075" cy="514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100"/>
            <a:t>Save</a:t>
          </a:r>
          <a:r>
            <a:rPr lang="en-IE" sz="1100" baseline="0"/>
            <a:t> MT5 Files</a:t>
          </a:r>
        </a:p>
      </xdr:txBody>
    </xdr:sp>
    <xdr:clientData/>
  </xdr:twoCellAnchor>
  <xdr:twoCellAnchor>
    <xdr:from>
      <xdr:col>17</xdr:col>
      <xdr:colOff>590550</xdr:colOff>
      <xdr:row>13</xdr:row>
      <xdr:rowOff>171450</xdr:rowOff>
    </xdr:from>
    <xdr:to>
      <xdr:col>20</xdr:col>
      <xdr:colOff>123825</xdr:colOff>
      <xdr:row>16</xdr:row>
      <xdr:rowOff>114300</xdr:rowOff>
    </xdr:to>
    <xdr:sp macro="" textlink="">
      <xdr:nvSpPr>
        <xdr:cNvPr id="4" name="Rounded Rectangle 3"/>
        <xdr:cNvSpPr/>
      </xdr:nvSpPr>
      <xdr:spPr>
        <a:xfrm>
          <a:off x="11496675" y="2647950"/>
          <a:ext cx="1362075" cy="514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100"/>
            <a:t>Reload Open Price</a:t>
          </a:r>
          <a:endParaRPr lang="en-IE" sz="1100" baseline="0"/>
        </a:p>
      </xdr:txBody>
    </xdr:sp>
    <xdr:clientData/>
  </xdr:twoCellAnchor>
  <xdr:twoCellAnchor>
    <xdr:from>
      <xdr:col>17</xdr:col>
      <xdr:colOff>581025</xdr:colOff>
      <xdr:row>10</xdr:row>
      <xdr:rowOff>66675</xdr:rowOff>
    </xdr:from>
    <xdr:to>
      <xdr:col>20</xdr:col>
      <xdr:colOff>114300</xdr:colOff>
      <xdr:row>13</xdr:row>
      <xdr:rowOff>9525</xdr:rowOff>
    </xdr:to>
    <xdr:sp macro="" textlink="">
      <xdr:nvSpPr>
        <xdr:cNvPr id="5" name="Rounded Rectangle 4"/>
        <xdr:cNvSpPr/>
      </xdr:nvSpPr>
      <xdr:spPr>
        <a:xfrm>
          <a:off x="11487150" y="1971675"/>
          <a:ext cx="1362075" cy="514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100" baseline="0"/>
            <a:t>Add to History</a:t>
          </a:r>
        </a:p>
      </xdr:txBody>
    </xdr:sp>
    <xdr:clientData/>
  </xdr:twoCellAnchor>
</xdr:wsDr>
</file>

<file path=xl/queryTables/queryTable1.xml><?xml version="1.0" encoding="utf-8"?>
<queryTable xmlns="http://schemas.openxmlformats.org/spreadsheetml/2006/main" name="forex-rates#currencie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Q30"/>
  <sheetViews>
    <sheetView workbookViewId="0">
      <selection activeCell="G12" sqref="G12"/>
    </sheetView>
  </sheetViews>
  <sheetFormatPr defaultRowHeight="15" x14ac:dyDescent="0.25"/>
  <cols>
    <col min="11" max="11" width="9.140625" customWidth="1"/>
    <col min="12" max="12" width="15.28515625" bestFit="1" customWidth="1"/>
    <col min="13" max="13" width="11.140625" bestFit="1" customWidth="1"/>
  </cols>
  <sheetData>
    <row r="2" spans="1:17" x14ac:dyDescent="0.25">
      <c r="B2" t="s">
        <v>8</v>
      </c>
      <c r="C2" t="s">
        <v>9</v>
      </c>
      <c r="D2" t="s">
        <v>10</v>
      </c>
      <c r="E2" t="s">
        <v>11</v>
      </c>
      <c r="F2" t="s">
        <v>12</v>
      </c>
      <c r="G2" t="s">
        <v>13</v>
      </c>
      <c r="H2" t="s">
        <v>14</v>
      </c>
      <c r="I2" t="s">
        <v>15</v>
      </c>
      <c r="J2" t="s">
        <v>16</v>
      </c>
      <c r="K2" t="s">
        <v>17</v>
      </c>
      <c r="L2" t="s">
        <v>18</v>
      </c>
      <c r="M2" t="s">
        <v>21</v>
      </c>
      <c r="N2" t="s">
        <v>19</v>
      </c>
      <c r="O2" t="s">
        <v>20</v>
      </c>
    </row>
    <row r="3" spans="1:17" x14ac:dyDescent="0.25">
      <c r="A3" t="s">
        <v>0</v>
      </c>
      <c r="B3">
        <f>VLOOKUP(A3,Data!$A:$L,2,FALSE)</f>
        <v>0.90766999999999998</v>
      </c>
      <c r="C3">
        <f>VLOOKUP(A3,Data!$A:$L,3,FALSE)</f>
        <v>0.91063000000000005</v>
      </c>
      <c r="D3">
        <f>VLOOKUP(A3,Data!$A:$L,4,FALSE)</f>
        <v>0.91329000000000005</v>
      </c>
      <c r="E3">
        <f>VLOOKUP(A3,Data!$A:$L,5,FALSE)</f>
        <v>0.91544999999999999</v>
      </c>
      <c r="F3">
        <f>VLOOKUP(A3,Data!$A:$L,6,FALSE)</f>
        <v>0.92</v>
      </c>
      <c r="G3">
        <f>VLOOKUP(A3,Data!$A:$L,7,FALSE)</f>
        <v>0.92</v>
      </c>
      <c r="H3">
        <f>VLOOKUP(A3,Data!$A:$L,8,FALSE)</f>
        <v>0.92</v>
      </c>
      <c r="I3">
        <f>VLOOKUP(A3,Data!$A:$L,9,FALSE)</f>
        <v>0.93</v>
      </c>
      <c r="J3">
        <f>VLOOKUP(A3,Data!$A:$L,10,FALSE)</f>
        <v>0.91</v>
      </c>
      <c r="K3">
        <f>VLOOKUP(A3,Data!$A:$L,11,FALSE)</f>
        <v>0.90537000000000001</v>
      </c>
      <c r="L3" t="str">
        <f>VLOOKUP(A3,Data!$A:$L,12,FALSE)</f>
        <v>2020.09.22 02:00</v>
      </c>
      <c r="M3">
        <v>0.87060000000000004</v>
      </c>
      <c r="N3" t="str">
        <f t="shared" ref="N3:N4" si="0">IF(M3&gt;K3,IF(M3&lt;J3,"Yay","Nay"),"Nay")</f>
        <v>Nay</v>
      </c>
      <c r="O3" t="str">
        <f>IF(M3&gt;J3,"Hi",IF(M3&lt;K3,"Lo","Mid"))</f>
        <v>Lo</v>
      </c>
      <c r="P3" s="2">
        <f>M3/J3</f>
        <v>0.95670329670329668</v>
      </c>
      <c r="Q3" s="2">
        <f>M3/K3</f>
        <v>0.96159581165711261</v>
      </c>
    </row>
    <row r="4" spans="1:17" x14ac:dyDescent="0.25">
      <c r="A4" t="s">
        <v>1</v>
      </c>
      <c r="B4">
        <f>VLOOKUP(A4,Data!$A:$L,2,FALSE)</f>
        <v>122.428</v>
      </c>
      <c r="C4">
        <f>VLOOKUP(A4,Data!$A:$L,3,FALSE)</f>
        <v>122.88500000000001</v>
      </c>
      <c r="D4">
        <f>VLOOKUP(A4,Data!$A:$L,4,FALSE)</f>
        <v>123.29600000000001</v>
      </c>
      <c r="E4">
        <f>VLOOKUP(A4,Data!$A:$L,5,FALSE)</f>
        <v>123.63</v>
      </c>
      <c r="F4">
        <f>VLOOKUP(A4,Data!$A:$L,6,FALSE)</f>
        <v>123.92</v>
      </c>
      <c r="G4">
        <f>VLOOKUP(A4,Data!$A:$L,7,FALSE)</f>
        <v>124.25</v>
      </c>
      <c r="H4">
        <f>VLOOKUP(A4,Data!$A:$L,8,FALSE)</f>
        <v>124.67</v>
      </c>
      <c r="I4">
        <f>VLOOKUP(A4,Data!$A:$L,9,FALSE)</f>
        <v>125.13</v>
      </c>
      <c r="J4">
        <f>VLOOKUP(A4,Data!$A:$L,10,FALSE)</f>
        <v>119.82</v>
      </c>
      <c r="K4">
        <f>VLOOKUP(A4,Data!$A:$L,11,FALSE)</f>
        <v>119.82299999999999</v>
      </c>
      <c r="L4" t="str">
        <f>VLOOKUP(A4,Data!$A:$L,12,FALSE)</f>
        <v>2020.09.22 02:00</v>
      </c>
      <c r="M4">
        <v>117.212</v>
      </c>
      <c r="N4" t="str">
        <f t="shared" si="0"/>
        <v>Nay</v>
      </c>
      <c r="O4" t="str">
        <f t="shared" ref="O4:O8" si="1">IF(M4&gt;J4,"Hi",IF(M4&lt;K4,"Lo","Mid"))</f>
        <v>Lo</v>
      </c>
      <c r="P4" s="2">
        <f t="shared" ref="P4:P8" si="2">M4/J4</f>
        <v>0.97823401769320661</v>
      </c>
      <c r="Q4" s="2">
        <f t="shared" ref="Q4:Q8" si="3">M4/K4</f>
        <v>0.97820952571709952</v>
      </c>
    </row>
    <row r="5" spans="1:17" x14ac:dyDescent="0.25">
      <c r="A5" t="s">
        <v>2</v>
      </c>
      <c r="B5">
        <f>VLOOKUP(A5,Data!$A:$L,2,FALSE)</f>
        <v>1.17303</v>
      </c>
      <c r="C5">
        <f>VLOOKUP(A5,Data!$A:$L,3,FALSE)</f>
        <v>1.17669</v>
      </c>
      <c r="D5">
        <f>VLOOKUP(A5,Data!$A:$L,4,FALSE)</f>
        <v>1.1799599999999999</v>
      </c>
      <c r="E5">
        <f>VLOOKUP(A5,Data!$A:$L,5,FALSE)</f>
        <v>1.18262</v>
      </c>
      <c r="F5">
        <f>VLOOKUP(A5,Data!$A:$L,6,FALSE)</f>
        <v>1.18</v>
      </c>
      <c r="G5">
        <f>VLOOKUP(A5,Data!$A:$L,7,FALSE)</f>
        <v>1.19</v>
      </c>
      <c r="H5">
        <f>VLOOKUP(A5,Data!$A:$L,8,FALSE)</f>
        <v>1.19</v>
      </c>
      <c r="I5">
        <f>VLOOKUP(A5,Data!$A:$L,9,FALSE)</f>
        <v>1.19</v>
      </c>
      <c r="J5">
        <f>VLOOKUP(A5,Data!$A:$L,10,FALSE)</f>
        <v>1.1399999999999999</v>
      </c>
      <c r="K5">
        <f>VLOOKUP(A5,Data!$A:$L,11,FALSE)</f>
        <v>1.13954</v>
      </c>
      <c r="L5" t="str">
        <f>VLOOKUP(A5,Data!$A:$L,12,FALSE)</f>
        <v>2020.09.22 02:00</v>
      </c>
      <c r="M5">
        <v>1.08725</v>
      </c>
      <c r="N5" t="str">
        <f>IF(M5&gt;K5,IF(M5&lt;J5,"Yay","Nay"),"Nay")</f>
        <v>Nay</v>
      </c>
      <c r="O5" t="str">
        <f t="shared" si="1"/>
        <v>Lo</v>
      </c>
      <c r="P5" s="2">
        <f t="shared" si="2"/>
        <v>0.9537280701754387</v>
      </c>
      <c r="Q5" s="2">
        <f t="shared" si="3"/>
        <v>0.95411306316583888</v>
      </c>
    </row>
    <row r="6" spans="1:17" x14ac:dyDescent="0.25">
      <c r="A6" t="s">
        <v>3</v>
      </c>
      <c r="B6">
        <f>VLOOKUP(A6,Data!$A:$L,2,FALSE)</f>
        <v>133.19</v>
      </c>
      <c r="C6">
        <f>VLOOKUP(A6,Data!$A:$L,3,FALSE)</f>
        <v>133.80000000000001</v>
      </c>
      <c r="D6">
        <f>VLOOKUP(A6,Data!$A:$L,4,FALSE)</f>
        <v>134.34800000000001</v>
      </c>
      <c r="E6">
        <f>VLOOKUP(A6,Data!$A:$L,5,FALSE)</f>
        <v>134.79300000000001</v>
      </c>
      <c r="F6">
        <f>VLOOKUP(A6,Data!$A:$L,6,FALSE)</f>
        <v>135.16999999999999</v>
      </c>
      <c r="G6">
        <f>VLOOKUP(A6,Data!$A:$L,7,FALSE)</f>
        <v>135.62</v>
      </c>
      <c r="H6">
        <f>VLOOKUP(A6,Data!$A:$L,8,FALSE)</f>
        <v>136.18</v>
      </c>
      <c r="I6">
        <f>VLOOKUP(A6,Data!$A:$L,9,FALSE)</f>
        <v>136.80000000000001</v>
      </c>
      <c r="J6">
        <f>VLOOKUP(A6,Data!$A:$L,10,FALSE)</f>
        <v>134.81</v>
      </c>
      <c r="K6">
        <f>VLOOKUP(A6,Data!$A:$L,11,FALSE)</f>
        <v>134.80600000000001</v>
      </c>
      <c r="L6" t="str">
        <f>VLOOKUP(A6,Data!$A:$L,12,FALSE)</f>
        <v>2020.09.22 02:00</v>
      </c>
      <c r="M6">
        <v>134.614</v>
      </c>
      <c r="N6" t="str">
        <f t="shared" ref="N6:N8" si="4">IF(M6&gt;K6,IF(M6&lt;J6,"Yay","Nay"),"Nay")</f>
        <v>Nay</v>
      </c>
      <c r="O6" t="str">
        <f t="shared" si="1"/>
        <v>Lo</v>
      </c>
      <c r="P6" s="2">
        <f t="shared" si="2"/>
        <v>0.99854610192122251</v>
      </c>
      <c r="Q6" s="2">
        <f t="shared" si="3"/>
        <v>0.99857573105054664</v>
      </c>
    </row>
    <row r="7" spans="1:17" x14ac:dyDescent="0.25">
      <c r="A7" t="s">
        <v>4</v>
      </c>
      <c r="B7">
        <f>VLOOKUP(A7,Data!$A:$L,2,FALSE)</f>
        <v>1.27844</v>
      </c>
      <c r="C7">
        <f>VLOOKUP(A7,Data!$A:$L,3,FALSE)</f>
        <v>1.28285</v>
      </c>
      <c r="D7">
        <f>VLOOKUP(A7,Data!$A:$L,4,FALSE)</f>
        <v>1.28681</v>
      </c>
      <c r="E7">
        <f>VLOOKUP(A7,Data!$A:$L,5,FALSE)</f>
        <v>1.2900199999999999</v>
      </c>
      <c r="F7">
        <f>VLOOKUP(A7,Data!$A:$L,6,FALSE)</f>
        <v>1.29</v>
      </c>
      <c r="G7">
        <f>VLOOKUP(A7,Data!$A:$L,7,FALSE)</f>
        <v>1.3</v>
      </c>
      <c r="H7">
        <f>VLOOKUP(A7,Data!$A:$L,8,FALSE)</f>
        <v>1.3</v>
      </c>
      <c r="I7">
        <f>VLOOKUP(A7,Data!$A:$L,9,FALSE)</f>
        <v>1.3</v>
      </c>
      <c r="J7">
        <f>VLOOKUP(A7,Data!$A:$L,10,FALSE)</f>
        <v>1.27</v>
      </c>
      <c r="K7">
        <f>VLOOKUP(A7,Data!$A:$L,11,FALSE)</f>
        <v>1.27162</v>
      </c>
      <c r="L7" t="str">
        <f>VLOOKUP(A7,Data!$A:$L,12,FALSE)</f>
        <v>2020.09.22 02:00</v>
      </c>
      <c r="M7">
        <v>1.2468300000000001</v>
      </c>
      <c r="N7" t="str">
        <f t="shared" si="4"/>
        <v>Nay</v>
      </c>
      <c r="O7" t="str">
        <f t="shared" si="1"/>
        <v>Lo</v>
      </c>
      <c r="P7" s="2">
        <f t="shared" si="2"/>
        <v>0.98175590551181113</v>
      </c>
      <c r="Q7" s="2">
        <f t="shared" si="3"/>
        <v>0.9805051823658012</v>
      </c>
    </row>
    <row r="8" spans="1:17" x14ac:dyDescent="0.25">
      <c r="A8" t="s">
        <v>5</v>
      </c>
      <c r="B8">
        <f>VLOOKUP(A8,Data!$A:$L,2,FALSE)</f>
        <v>103.526</v>
      </c>
      <c r="C8">
        <f>VLOOKUP(A8,Data!$A:$L,3,FALSE)</f>
        <v>103.871</v>
      </c>
      <c r="D8">
        <f>VLOOKUP(A8,Data!$A:$L,4,FALSE)</f>
        <v>104.184</v>
      </c>
      <c r="E8">
        <f>VLOOKUP(A8,Data!$A:$L,5,FALSE)</f>
        <v>104.446</v>
      </c>
      <c r="F8">
        <f>VLOOKUP(A8,Data!$A:$L,6,FALSE)</f>
        <v>104.68</v>
      </c>
      <c r="G8">
        <f>VLOOKUP(A8,Data!$A:$L,7,FALSE)</f>
        <v>104.94</v>
      </c>
      <c r="H8">
        <f>VLOOKUP(A8,Data!$A:$L,8,FALSE)</f>
        <v>105.26</v>
      </c>
      <c r="I8">
        <f>VLOOKUP(A8,Data!$A:$L,9,FALSE)</f>
        <v>105.61</v>
      </c>
      <c r="J8">
        <f>VLOOKUP(A8,Data!$A:$L,10,FALSE)</f>
        <v>104.26</v>
      </c>
      <c r="K8">
        <f>VLOOKUP(A8,Data!$A:$L,11,FALSE)</f>
        <v>104.256</v>
      </c>
      <c r="L8" t="str">
        <f>VLOOKUP(A8,Data!$A:$L,12,FALSE)</f>
        <v>2020.09.22 02:00</v>
      </c>
      <c r="M8">
        <v>107.80200000000001</v>
      </c>
      <c r="N8" t="str">
        <f t="shared" si="4"/>
        <v>Nay</v>
      </c>
      <c r="O8" t="str">
        <f t="shared" si="1"/>
        <v>Hi</v>
      </c>
      <c r="P8" s="2">
        <f t="shared" si="2"/>
        <v>1.0339727604066757</v>
      </c>
      <c r="Q8" s="2">
        <f t="shared" si="3"/>
        <v>1.0340124309392267</v>
      </c>
    </row>
    <row r="9" spans="1:17" x14ac:dyDescent="0.25">
      <c r="P9" s="2"/>
      <c r="Q9" s="2"/>
    </row>
    <row r="30" spans="7:7" x14ac:dyDescent="0.25">
      <c r="G30">
        <v>0</v>
      </c>
    </row>
  </sheetData>
  <conditionalFormatting sqref="N3:N9">
    <cfRule type="containsText" dxfId="1" priority="1" operator="containsText" text="Nay">
      <formula>NOT(ISERROR(SEARCH("Nay",N3)))</formula>
    </cfRule>
    <cfRule type="containsText" dxfId="0" priority="2" operator="containsText" text="Yay">
      <formula>NOT(ISERROR(SEARCH("Yay",N3)))</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36"/>
  <sheetViews>
    <sheetView tabSelected="1" topLeftCell="A110" workbookViewId="0">
      <selection activeCell="K124" sqref="K124"/>
    </sheetView>
  </sheetViews>
  <sheetFormatPr defaultRowHeight="15" x14ac:dyDescent="0.25"/>
  <cols>
    <col min="2" max="2" width="10.7109375" bestFit="1" customWidth="1"/>
    <col min="12" max="12" width="15.28515625" bestFit="1" customWidth="1"/>
  </cols>
  <sheetData>
    <row r="1" spans="1:12" x14ac:dyDescent="0.25">
      <c r="A1" t="s">
        <v>7</v>
      </c>
      <c r="B1" t="s">
        <v>8</v>
      </c>
      <c r="C1" t="s">
        <v>9</v>
      </c>
      <c r="D1" t="s">
        <v>10</v>
      </c>
      <c r="E1" t="s">
        <v>11</v>
      </c>
      <c r="F1" t="s">
        <v>12</v>
      </c>
      <c r="G1" t="s">
        <v>13</v>
      </c>
      <c r="H1" t="s">
        <v>14</v>
      </c>
      <c r="I1" t="s">
        <v>15</v>
      </c>
      <c r="J1" t="s">
        <v>16</v>
      </c>
      <c r="K1" t="s">
        <v>17</v>
      </c>
      <c r="L1" t="s">
        <v>6</v>
      </c>
    </row>
    <row r="2" spans="1:12" x14ac:dyDescent="0.25">
      <c r="A2" t="s">
        <v>500</v>
      </c>
      <c r="B2">
        <v>0.95333999999999997</v>
      </c>
      <c r="C2">
        <v>0.95626999999999995</v>
      </c>
      <c r="D2">
        <v>0.95891000000000004</v>
      </c>
      <c r="E2">
        <v>0.96104000000000001</v>
      </c>
      <c r="F2">
        <v>0.96</v>
      </c>
      <c r="G2">
        <v>0.97</v>
      </c>
      <c r="H2">
        <v>0.97</v>
      </c>
      <c r="I2">
        <v>0.97</v>
      </c>
      <c r="J2">
        <v>0.95</v>
      </c>
      <c r="K2">
        <v>0.94686000000000003</v>
      </c>
      <c r="L2" t="s">
        <v>621</v>
      </c>
    </row>
    <row r="3" spans="1:12" x14ac:dyDescent="0.25">
      <c r="A3" t="s">
        <v>501</v>
      </c>
      <c r="B3">
        <v>0.65588000000000002</v>
      </c>
      <c r="C3">
        <v>0.65873000000000004</v>
      </c>
      <c r="D3">
        <v>0.66129000000000004</v>
      </c>
      <c r="E3">
        <v>0.66335999999990003</v>
      </c>
      <c r="F3">
        <v>0.67</v>
      </c>
      <c r="G3">
        <v>0.67</v>
      </c>
      <c r="H3">
        <v>0.67</v>
      </c>
      <c r="I3">
        <v>0.67</v>
      </c>
      <c r="J3">
        <v>0.66</v>
      </c>
      <c r="K3">
        <v>0.66135999999990003</v>
      </c>
      <c r="L3" t="s">
        <v>621</v>
      </c>
    </row>
    <row r="4" spans="1:12" x14ac:dyDescent="0.25">
      <c r="A4" t="s">
        <v>502</v>
      </c>
      <c r="B4">
        <v>4.8975</v>
      </c>
      <c r="C4">
        <v>4.9116999999999997</v>
      </c>
      <c r="D4">
        <v>4.9244000000000003</v>
      </c>
      <c r="E4">
        <v>4.9345999999999997</v>
      </c>
      <c r="F4">
        <v>4.9400000000000004</v>
      </c>
      <c r="G4">
        <v>4.95</v>
      </c>
      <c r="H4">
        <v>4.97</v>
      </c>
      <c r="I4">
        <v>4.9800000000000004</v>
      </c>
      <c r="J4">
        <v>4.9400000000000004</v>
      </c>
      <c r="K4">
        <v>4.9389000000000003</v>
      </c>
      <c r="L4" t="s">
        <v>621</v>
      </c>
    </row>
    <row r="5" spans="1:12" x14ac:dyDescent="0.25">
      <c r="A5" t="s">
        <v>503</v>
      </c>
      <c r="B5">
        <v>75.188999999998998</v>
      </c>
      <c r="C5">
        <v>75.531999999999996</v>
      </c>
      <c r="D5">
        <v>75.84</v>
      </c>
      <c r="E5">
        <v>76.087999999998999</v>
      </c>
      <c r="F5">
        <v>76.3</v>
      </c>
      <c r="G5">
        <v>76.55</v>
      </c>
      <c r="H5">
        <v>76.86</v>
      </c>
      <c r="I5">
        <v>77.209999999999994</v>
      </c>
      <c r="J5">
        <v>75.540000000000006</v>
      </c>
      <c r="K5">
        <v>75.534999999999997</v>
      </c>
      <c r="L5" t="s">
        <v>621</v>
      </c>
    </row>
    <row r="6" spans="1:12" x14ac:dyDescent="0.25">
      <c r="A6" t="s">
        <v>504</v>
      </c>
      <c r="B6">
        <v>6.5601000000000003</v>
      </c>
      <c r="C6">
        <v>6.5796999999999999</v>
      </c>
      <c r="D6">
        <v>6.5972999999999997</v>
      </c>
      <c r="E6">
        <v>6.6115000000000004</v>
      </c>
      <c r="F6">
        <v>6.62</v>
      </c>
      <c r="G6">
        <v>6.64</v>
      </c>
      <c r="H6">
        <v>6.66</v>
      </c>
      <c r="I6">
        <v>6.68</v>
      </c>
      <c r="J6">
        <v>6.56</v>
      </c>
      <c r="K6">
        <v>6.5609000000000002</v>
      </c>
      <c r="L6" t="s">
        <v>621</v>
      </c>
    </row>
    <row r="7" spans="1:12" x14ac:dyDescent="0.25">
      <c r="A7" t="s">
        <v>505</v>
      </c>
      <c r="B7">
        <v>1.06847</v>
      </c>
      <c r="C7">
        <v>1.07155</v>
      </c>
      <c r="D7">
        <v>1.0743199999999999</v>
      </c>
      <c r="E7">
        <v>1.0765499999999999</v>
      </c>
      <c r="F7">
        <v>1.08</v>
      </c>
      <c r="G7">
        <v>1.08</v>
      </c>
      <c r="H7">
        <v>1.08</v>
      </c>
      <c r="I7">
        <v>1.0900000000000001</v>
      </c>
      <c r="J7">
        <v>1.07</v>
      </c>
      <c r="K7">
        <v>1.0708500000000001</v>
      </c>
      <c r="L7" t="s">
        <v>621</v>
      </c>
    </row>
    <row r="8" spans="1:12" x14ac:dyDescent="0.25">
      <c r="A8" t="s">
        <v>506</v>
      </c>
      <c r="B8">
        <v>2.7152500000000002</v>
      </c>
      <c r="C8">
        <v>2.7238899999999999</v>
      </c>
      <c r="D8">
        <v>2.73163</v>
      </c>
      <c r="E8">
        <v>2.7379099999999998</v>
      </c>
      <c r="F8">
        <v>2.74</v>
      </c>
      <c r="G8">
        <v>2.75</v>
      </c>
      <c r="H8">
        <v>2.76</v>
      </c>
      <c r="I8">
        <v>2.77</v>
      </c>
      <c r="J8">
        <v>2.71</v>
      </c>
      <c r="K8">
        <v>2.7124299999999999</v>
      </c>
      <c r="L8" t="s">
        <v>621</v>
      </c>
    </row>
    <row r="9" spans="1:12" x14ac:dyDescent="0.25">
      <c r="A9" t="s">
        <v>507</v>
      </c>
      <c r="B9">
        <v>0.98333999999999999</v>
      </c>
      <c r="C9">
        <v>0.98579000000000006</v>
      </c>
      <c r="D9">
        <v>0.98797000000000001</v>
      </c>
      <c r="E9">
        <v>0.98973999999999995</v>
      </c>
      <c r="F9">
        <v>0.99</v>
      </c>
      <c r="G9">
        <v>0.99</v>
      </c>
      <c r="H9">
        <v>1</v>
      </c>
      <c r="I9">
        <v>1</v>
      </c>
      <c r="J9">
        <v>0.98</v>
      </c>
      <c r="K9">
        <v>0.98243999999999998</v>
      </c>
      <c r="L9" t="s">
        <v>621</v>
      </c>
    </row>
    <row r="10" spans="1:12" x14ac:dyDescent="0.25">
      <c r="A10" t="s">
        <v>508</v>
      </c>
      <c r="B10">
        <v>0.72106999999999999</v>
      </c>
      <c r="C10">
        <v>0.72374000000000005</v>
      </c>
      <c r="D10">
        <v>0.72614000000000001</v>
      </c>
      <c r="E10">
        <v>0.72807999999990003</v>
      </c>
      <c r="F10">
        <v>0.73</v>
      </c>
      <c r="G10">
        <v>0.73</v>
      </c>
      <c r="H10">
        <v>0.73</v>
      </c>
      <c r="I10">
        <v>0.74</v>
      </c>
      <c r="J10">
        <v>0.73</v>
      </c>
      <c r="K10">
        <v>0.72819</v>
      </c>
      <c r="L10" t="s">
        <v>621</v>
      </c>
    </row>
    <row r="11" spans="1:12" x14ac:dyDescent="0.25">
      <c r="A11" t="s">
        <v>509</v>
      </c>
      <c r="B11">
        <v>0.68186000000000002</v>
      </c>
      <c r="C11">
        <v>0.68457000000000001</v>
      </c>
      <c r="D11">
        <v>0.68700000000000006</v>
      </c>
      <c r="E11">
        <v>0.68898000000000004</v>
      </c>
      <c r="F11">
        <v>0.69</v>
      </c>
      <c r="G11">
        <v>0.69</v>
      </c>
      <c r="H11">
        <v>0.7</v>
      </c>
      <c r="I11">
        <v>0.7</v>
      </c>
      <c r="J11">
        <v>0.69</v>
      </c>
      <c r="K11">
        <v>0.68533999999990003</v>
      </c>
      <c r="L11" t="s">
        <v>621</v>
      </c>
    </row>
    <row r="12" spans="1:12" x14ac:dyDescent="0.25">
      <c r="A12" t="s">
        <v>510</v>
      </c>
      <c r="B12">
        <v>78.228999999999999</v>
      </c>
      <c r="C12">
        <v>78.533000000000001</v>
      </c>
      <c r="D12">
        <v>78.808000000000007</v>
      </c>
      <c r="E12">
        <v>79.040000000000006</v>
      </c>
      <c r="F12">
        <v>79.25</v>
      </c>
      <c r="G12">
        <v>79.48</v>
      </c>
      <c r="H12">
        <v>79.760000000000005</v>
      </c>
      <c r="I12">
        <v>80.069999999999993</v>
      </c>
      <c r="J12">
        <v>78.900000000000006</v>
      </c>
      <c r="K12">
        <v>78.897999999999996</v>
      </c>
      <c r="L12" t="s">
        <v>621</v>
      </c>
    </row>
    <row r="13" spans="1:12" x14ac:dyDescent="0.25">
      <c r="A13" t="s">
        <v>511</v>
      </c>
      <c r="B13">
        <v>6.8131300000000001</v>
      </c>
      <c r="C13">
        <v>6.8340500000000004</v>
      </c>
      <c r="D13">
        <v>6.8528099999999998</v>
      </c>
      <c r="E13">
        <v>6.8680099999999999</v>
      </c>
      <c r="F13">
        <v>6.88</v>
      </c>
      <c r="G13">
        <v>6.9</v>
      </c>
      <c r="H13">
        <v>6.92</v>
      </c>
      <c r="I13">
        <v>6.94</v>
      </c>
      <c r="J13">
        <v>6.83</v>
      </c>
      <c r="K13">
        <v>6.8296099999999997</v>
      </c>
      <c r="L13" t="s">
        <v>621</v>
      </c>
    </row>
    <row r="14" spans="1:12" x14ac:dyDescent="0.25">
      <c r="A14" t="s">
        <v>512</v>
      </c>
      <c r="B14">
        <v>2.8173400000000002</v>
      </c>
      <c r="C14">
        <v>2.8273999999999999</v>
      </c>
      <c r="D14">
        <v>2.8364199999999999</v>
      </c>
      <c r="E14">
        <v>2.8437299999999999</v>
      </c>
      <c r="F14">
        <v>2.85</v>
      </c>
      <c r="G14">
        <v>2.86</v>
      </c>
      <c r="H14">
        <v>2.87</v>
      </c>
      <c r="I14">
        <v>2.88</v>
      </c>
      <c r="J14">
        <v>2.81</v>
      </c>
      <c r="K14">
        <v>2.8117299999999998</v>
      </c>
      <c r="L14" t="s">
        <v>621</v>
      </c>
    </row>
    <row r="15" spans="1:12" x14ac:dyDescent="0.25">
      <c r="A15" t="s">
        <v>513</v>
      </c>
      <c r="B15">
        <v>330.23700000000002</v>
      </c>
      <c r="C15">
        <v>331.13</v>
      </c>
      <c r="D15">
        <v>331.92899999999997</v>
      </c>
      <c r="E15">
        <v>332.57600000000002</v>
      </c>
      <c r="F15">
        <v>333.13</v>
      </c>
      <c r="G15">
        <v>333.78</v>
      </c>
      <c r="H15">
        <v>334.58</v>
      </c>
      <c r="I15">
        <v>335.49</v>
      </c>
      <c r="J15">
        <v>331.22</v>
      </c>
      <c r="K15">
        <v>331.22399999999999</v>
      </c>
      <c r="L15" t="s">
        <v>621</v>
      </c>
    </row>
    <row r="16" spans="1:12" x14ac:dyDescent="0.25">
      <c r="A16" t="s">
        <v>514</v>
      </c>
      <c r="B16">
        <v>113.31399999999999</v>
      </c>
      <c r="C16">
        <v>113.77200000000001</v>
      </c>
      <c r="D16">
        <v>114.18300000000001</v>
      </c>
      <c r="E16">
        <v>114.518</v>
      </c>
      <c r="F16">
        <v>114.81</v>
      </c>
      <c r="G16">
        <v>115.14</v>
      </c>
      <c r="H16">
        <v>115.56</v>
      </c>
      <c r="I16">
        <v>116.02</v>
      </c>
      <c r="J16">
        <v>113.81</v>
      </c>
      <c r="K16">
        <v>113.81399999999999</v>
      </c>
      <c r="L16" t="s">
        <v>621</v>
      </c>
    </row>
    <row r="17" spans="1:12" x14ac:dyDescent="0.25">
      <c r="A17" t="s">
        <v>515</v>
      </c>
      <c r="B17">
        <v>9.8678799999999995</v>
      </c>
      <c r="C17">
        <v>9.8984400000000008</v>
      </c>
      <c r="D17">
        <v>9.9258299999999</v>
      </c>
      <c r="E17">
        <v>9.94801</v>
      </c>
      <c r="F17">
        <v>9.9700000000000006</v>
      </c>
      <c r="G17">
        <v>9.99</v>
      </c>
      <c r="H17">
        <v>10.02</v>
      </c>
      <c r="I17">
        <v>10.050000000000001</v>
      </c>
      <c r="J17">
        <v>9.9</v>
      </c>
      <c r="K17">
        <v>9.8959799999999998</v>
      </c>
      <c r="L17" t="s">
        <v>621</v>
      </c>
    </row>
    <row r="18" spans="1:12" x14ac:dyDescent="0.25">
      <c r="A18" t="s">
        <v>516</v>
      </c>
      <c r="B18">
        <v>4.0899299999999998</v>
      </c>
      <c r="C18">
        <v>4.1015300000000003</v>
      </c>
      <c r="D18">
        <v>4.11191</v>
      </c>
      <c r="E18">
        <v>4.1203099999999999</v>
      </c>
      <c r="F18">
        <v>4.13</v>
      </c>
      <c r="G18">
        <v>4.1399999999999997</v>
      </c>
      <c r="H18">
        <v>4.1500000000000004</v>
      </c>
      <c r="I18">
        <v>4.16</v>
      </c>
      <c r="J18">
        <v>4.05</v>
      </c>
      <c r="K18">
        <v>4.0490599999999999</v>
      </c>
      <c r="L18" t="s">
        <v>621</v>
      </c>
    </row>
    <row r="19" spans="1:12" x14ac:dyDescent="0.25">
      <c r="A19" t="s">
        <v>517</v>
      </c>
      <c r="B19">
        <v>15.260400000000001</v>
      </c>
      <c r="C19">
        <v>15.312799999999999</v>
      </c>
      <c r="D19">
        <v>15.3598</v>
      </c>
      <c r="E19">
        <v>15.3978</v>
      </c>
      <c r="F19">
        <v>15.43</v>
      </c>
      <c r="G19">
        <v>15.47</v>
      </c>
      <c r="H19">
        <v>15.52</v>
      </c>
      <c r="I19">
        <v>15.57</v>
      </c>
      <c r="J19">
        <v>15.34</v>
      </c>
      <c r="K19">
        <v>15.3414</v>
      </c>
      <c r="L19" t="s">
        <v>621</v>
      </c>
    </row>
    <row r="20" spans="1:12" x14ac:dyDescent="0.25">
      <c r="A20" t="s">
        <v>518</v>
      </c>
      <c r="B20">
        <v>1.6057399999999999</v>
      </c>
      <c r="C20">
        <v>1.61168</v>
      </c>
      <c r="D20">
        <v>1.617</v>
      </c>
      <c r="E20">
        <v>1.6213200000000001</v>
      </c>
      <c r="F20">
        <v>1.63</v>
      </c>
      <c r="G20">
        <v>1.63</v>
      </c>
      <c r="H20">
        <v>1.63</v>
      </c>
      <c r="I20">
        <v>1.64</v>
      </c>
      <c r="J20">
        <v>1.63</v>
      </c>
      <c r="K20">
        <v>1.63303</v>
      </c>
      <c r="L20" t="s">
        <v>621</v>
      </c>
    </row>
    <row r="21" spans="1:12" x14ac:dyDescent="0.25">
      <c r="A21" t="s">
        <v>519</v>
      </c>
      <c r="B21">
        <v>1.54731</v>
      </c>
      <c r="C21">
        <v>1.5524899999999999</v>
      </c>
      <c r="D21">
        <v>1.55714</v>
      </c>
      <c r="E21">
        <v>1.5609200000000001</v>
      </c>
      <c r="F21">
        <v>1.56</v>
      </c>
      <c r="G21">
        <v>1.57</v>
      </c>
      <c r="H21">
        <v>1.57</v>
      </c>
      <c r="I21">
        <v>1.58</v>
      </c>
      <c r="J21">
        <v>1.63</v>
      </c>
      <c r="K21">
        <v>1.62744</v>
      </c>
      <c r="L21" t="s">
        <v>621</v>
      </c>
    </row>
    <row r="22" spans="1:12" x14ac:dyDescent="0.25">
      <c r="A22" t="s">
        <v>520</v>
      </c>
      <c r="B22">
        <v>1.07002</v>
      </c>
      <c r="C22">
        <v>1.07308</v>
      </c>
      <c r="D22">
        <v>1.0758099999999999</v>
      </c>
      <c r="E22">
        <v>1.07803</v>
      </c>
      <c r="F22">
        <v>1.08</v>
      </c>
      <c r="G22">
        <v>1.08</v>
      </c>
      <c r="H22">
        <v>1.08</v>
      </c>
      <c r="I22">
        <v>1.0900000000000001</v>
      </c>
      <c r="J22">
        <v>1.08</v>
      </c>
      <c r="K22">
        <v>1.07718</v>
      </c>
      <c r="L22" t="s">
        <v>621</v>
      </c>
    </row>
    <row r="23" spans="1:12" x14ac:dyDescent="0.25">
      <c r="A23" t="s">
        <v>521</v>
      </c>
      <c r="B23">
        <v>7.9668000000000001</v>
      </c>
      <c r="C23">
        <v>7.9856999999999996</v>
      </c>
      <c r="D23">
        <v>8.0024999999999995</v>
      </c>
      <c r="E23">
        <v>8.0161999999999995</v>
      </c>
      <c r="F23">
        <v>8.0299999999999994</v>
      </c>
      <c r="G23">
        <v>8.0399999999999991</v>
      </c>
      <c r="H23">
        <v>8.06</v>
      </c>
      <c r="I23">
        <v>8.08</v>
      </c>
      <c r="J23">
        <v>7.99</v>
      </c>
      <c r="K23">
        <v>7.9913999999999996</v>
      </c>
      <c r="L23" t="s">
        <v>621</v>
      </c>
    </row>
    <row r="24" spans="1:12" x14ac:dyDescent="0.25">
      <c r="A24" t="s">
        <v>522</v>
      </c>
      <c r="B24">
        <v>26.574000000000002</v>
      </c>
      <c r="C24">
        <v>26.613399999999999</v>
      </c>
      <c r="D24">
        <v>26.648499999999999</v>
      </c>
      <c r="E24">
        <v>26.6769</v>
      </c>
      <c r="F24">
        <v>26.7</v>
      </c>
      <c r="G24">
        <v>26.73</v>
      </c>
      <c r="H24">
        <v>26.76</v>
      </c>
      <c r="I24">
        <v>26.8</v>
      </c>
      <c r="J24">
        <v>26.91</v>
      </c>
      <c r="K24">
        <v>26.9086</v>
      </c>
      <c r="L24" t="s">
        <v>621</v>
      </c>
    </row>
    <row r="25" spans="1:12" x14ac:dyDescent="0.25">
      <c r="A25" t="s">
        <v>523</v>
      </c>
      <c r="B25">
        <v>7.4368499999999997</v>
      </c>
      <c r="C25">
        <v>7.4376899999999999</v>
      </c>
      <c r="D25">
        <v>7.4384499999999996</v>
      </c>
      <c r="E25">
        <v>7.4390499999999999</v>
      </c>
      <c r="F25">
        <v>7.44</v>
      </c>
      <c r="G25">
        <v>7.44</v>
      </c>
      <c r="H25">
        <v>7.44</v>
      </c>
      <c r="I25">
        <v>7.44</v>
      </c>
      <c r="J25">
        <v>7.54</v>
      </c>
      <c r="K25">
        <v>7.5396999999999998</v>
      </c>
      <c r="L25" t="s">
        <v>621</v>
      </c>
    </row>
    <row r="26" spans="1:12" x14ac:dyDescent="0.25">
      <c r="A26" t="s">
        <v>0</v>
      </c>
      <c r="B26">
        <v>0.90766999999999998</v>
      </c>
      <c r="C26">
        <v>0.91063000000000005</v>
      </c>
      <c r="D26">
        <v>0.91329000000000005</v>
      </c>
      <c r="E26">
        <v>0.91544999999999999</v>
      </c>
      <c r="F26">
        <v>0.92</v>
      </c>
      <c r="G26">
        <v>0.92</v>
      </c>
      <c r="H26">
        <v>0.92</v>
      </c>
      <c r="I26">
        <v>0.93</v>
      </c>
      <c r="J26">
        <v>0.91</v>
      </c>
      <c r="K26">
        <v>0.90537000000000001</v>
      </c>
      <c r="L26" t="s">
        <v>621</v>
      </c>
    </row>
    <row r="27" spans="1:12" x14ac:dyDescent="0.25">
      <c r="A27" t="s">
        <v>524</v>
      </c>
      <c r="B27">
        <v>9.0995000000000008</v>
      </c>
      <c r="C27">
        <v>9.1245999999998997</v>
      </c>
      <c r="D27">
        <v>9.1471</v>
      </c>
      <c r="E27">
        <v>9.1652000000000005</v>
      </c>
      <c r="F27">
        <v>9.18</v>
      </c>
      <c r="G27">
        <v>9.1999999999999993</v>
      </c>
      <c r="H27">
        <v>9.2200000000000006</v>
      </c>
      <c r="I27">
        <v>9.25</v>
      </c>
      <c r="J27">
        <v>9.1</v>
      </c>
      <c r="K27">
        <v>9.1</v>
      </c>
      <c r="L27" t="s">
        <v>621</v>
      </c>
    </row>
    <row r="28" spans="1:12" x14ac:dyDescent="0.25">
      <c r="A28" t="s">
        <v>525</v>
      </c>
      <c r="B28">
        <v>357.61500000000001</v>
      </c>
      <c r="C28">
        <v>358.46600000000001</v>
      </c>
      <c r="D28">
        <v>359.22899999999998</v>
      </c>
      <c r="E28">
        <v>359.84500000000003</v>
      </c>
      <c r="F28">
        <v>360.37</v>
      </c>
      <c r="G28">
        <v>360.99</v>
      </c>
      <c r="H28">
        <v>361.76</v>
      </c>
      <c r="I28">
        <v>362.62</v>
      </c>
      <c r="J28">
        <v>355.97</v>
      </c>
      <c r="K28">
        <v>355.96800000000002</v>
      </c>
      <c r="L28" t="s">
        <v>621</v>
      </c>
    </row>
    <row r="29" spans="1:12" x14ac:dyDescent="0.25">
      <c r="A29" t="s">
        <v>1</v>
      </c>
      <c r="B29">
        <v>122.428</v>
      </c>
      <c r="C29">
        <v>122.88500000000001</v>
      </c>
      <c r="D29">
        <v>123.29600000000001</v>
      </c>
      <c r="E29">
        <v>123.63</v>
      </c>
      <c r="F29">
        <v>123.92</v>
      </c>
      <c r="G29">
        <v>124.25</v>
      </c>
      <c r="H29">
        <v>124.67</v>
      </c>
      <c r="I29">
        <v>125.13</v>
      </c>
      <c r="J29">
        <v>119.82</v>
      </c>
      <c r="K29">
        <v>119.82299999999999</v>
      </c>
      <c r="L29" t="s">
        <v>621</v>
      </c>
    </row>
    <row r="30" spans="1:12" x14ac:dyDescent="0.25">
      <c r="A30" t="s">
        <v>526</v>
      </c>
      <c r="B30">
        <v>24.655840000000001</v>
      </c>
      <c r="C30">
        <v>24.767980000000001</v>
      </c>
      <c r="D30">
        <v>24.86985</v>
      </c>
      <c r="E30">
        <v>24.95533</v>
      </c>
      <c r="F30">
        <v>25.03</v>
      </c>
      <c r="G30">
        <v>25.12</v>
      </c>
      <c r="H30">
        <v>25.22</v>
      </c>
      <c r="I30">
        <v>25.34</v>
      </c>
      <c r="J30">
        <v>24.81</v>
      </c>
      <c r="K30">
        <v>24.8065</v>
      </c>
      <c r="L30" t="s">
        <v>621</v>
      </c>
    </row>
    <row r="31" spans="1:12" x14ac:dyDescent="0.25">
      <c r="A31" t="s">
        <v>527</v>
      </c>
      <c r="B31">
        <v>10.65211</v>
      </c>
      <c r="C31">
        <v>10.68571</v>
      </c>
      <c r="D31">
        <v>10.715820000000001</v>
      </c>
      <c r="E31">
        <v>10.740220000000001</v>
      </c>
      <c r="F31">
        <v>10.76</v>
      </c>
      <c r="G31">
        <v>10.79</v>
      </c>
      <c r="H31">
        <v>10.82</v>
      </c>
      <c r="I31">
        <v>10.85</v>
      </c>
      <c r="J31">
        <v>10.55</v>
      </c>
      <c r="K31">
        <v>10.54576</v>
      </c>
      <c r="L31" t="s">
        <v>621</v>
      </c>
    </row>
    <row r="32" spans="1:12" x14ac:dyDescent="0.25">
      <c r="A32" t="s">
        <v>528</v>
      </c>
      <c r="B32">
        <v>1.7304299999999999</v>
      </c>
      <c r="C32">
        <v>1.7372399999999999</v>
      </c>
      <c r="D32">
        <v>1.74336</v>
      </c>
      <c r="E32">
        <v>1.7483299999999999</v>
      </c>
      <c r="F32">
        <v>1.75</v>
      </c>
      <c r="G32">
        <v>1.76</v>
      </c>
      <c r="H32">
        <v>1.76</v>
      </c>
      <c r="I32">
        <v>1.77</v>
      </c>
      <c r="J32">
        <v>1.74</v>
      </c>
      <c r="K32">
        <v>1.7382</v>
      </c>
      <c r="L32" t="s">
        <v>621</v>
      </c>
    </row>
    <row r="33" spans="1:12" x14ac:dyDescent="0.25">
      <c r="A33" t="s">
        <v>529</v>
      </c>
      <c r="B33">
        <v>4.4252900000000004</v>
      </c>
      <c r="C33">
        <v>4.4351599999999998</v>
      </c>
      <c r="D33">
        <v>4.444</v>
      </c>
      <c r="E33">
        <v>4.4511500000000002</v>
      </c>
      <c r="F33">
        <v>4.46</v>
      </c>
      <c r="G33">
        <v>4.46</v>
      </c>
      <c r="H33">
        <v>4.47</v>
      </c>
      <c r="I33">
        <v>4.4800000000000004</v>
      </c>
      <c r="J33">
        <v>4.25</v>
      </c>
      <c r="K33">
        <v>4.2489600000000003</v>
      </c>
      <c r="L33" t="s">
        <v>621</v>
      </c>
    </row>
    <row r="34" spans="1:12" x14ac:dyDescent="0.25">
      <c r="A34" t="s">
        <v>530</v>
      </c>
      <c r="B34">
        <v>4.8334999999999999</v>
      </c>
      <c r="C34">
        <v>4.8384</v>
      </c>
      <c r="D34">
        <v>4.8428000000000004</v>
      </c>
      <c r="E34">
        <v>4.8463000000000003</v>
      </c>
      <c r="F34">
        <v>4.8499999999999996</v>
      </c>
      <c r="G34">
        <v>4.8499999999999996</v>
      </c>
      <c r="H34">
        <v>4.8600000000000003</v>
      </c>
      <c r="I34">
        <v>4.8600000000000003</v>
      </c>
      <c r="J34">
        <v>4.84</v>
      </c>
      <c r="K34">
        <v>4.8381999999999996</v>
      </c>
      <c r="L34" t="s">
        <v>621</v>
      </c>
    </row>
    <row r="35" spans="1:12" x14ac:dyDescent="0.25">
      <c r="A35" t="s">
        <v>531</v>
      </c>
      <c r="B35">
        <v>87.606999999999999</v>
      </c>
      <c r="C35">
        <v>88.081999999998999</v>
      </c>
      <c r="D35">
        <v>88.51</v>
      </c>
      <c r="E35">
        <v>88.858000000000004</v>
      </c>
      <c r="F35">
        <v>89.16</v>
      </c>
      <c r="G35">
        <v>89.51</v>
      </c>
      <c r="H35">
        <v>89.94</v>
      </c>
      <c r="I35">
        <v>90.43</v>
      </c>
      <c r="J35">
        <v>87.32</v>
      </c>
      <c r="K35">
        <v>87.320999999999998</v>
      </c>
      <c r="L35" t="s">
        <v>621</v>
      </c>
    </row>
    <row r="36" spans="1:12" x14ac:dyDescent="0.25">
      <c r="A36" t="s">
        <v>532</v>
      </c>
      <c r="B36">
        <v>10.28332</v>
      </c>
      <c r="C36">
        <v>10.3088</v>
      </c>
      <c r="D36">
        <v>10.3316</v>
      </c>
      <c r="E36">
        <v>10.350059999999999</v>
      </c>
      <c r="F36">
        <v>10.37</v>
      </c>
      <c r="G36">
        <v>10.38</v>
      </c>
      <c r="H36">
        <v>10.41</v>
      </c>
      <c r="I36">
        <v>10.43</v>
      </c>
      <c r="J36">
        <v>10.54</v>
      </c>
      <c r="K36">
        <v>10.537879999999999</v>
      </c>
      <c r="L36" t="s">
        <v>621</v>
      </c>
    </row>
    <row r="37" spans="1:12" x14ac:dyDescent="0.25">
      <c r="A37" t="s">
        <v>533</v>
      </c>
      <c r="B37">
        <v>1.5999000000000001</v>
      </c>
      <c r="C37">
        <v>1.603</v>
      </c>
      <c r="D37">
        <v>1.6057999999999999</v>
      </c>
      <c r="E37">
        <v>1.6081000000000001</v>
      </c>
      <c r="F37">
        <v>1.61</v>
      </c>
      <c r="G37">
        <v>1.61</v>
      </c>
      <c r="H37">
        <v>1.62</v>
      </c>
      <c r="I37">
        <v>1.62</v>
      </c>
      <c r="J37">
        <v>1.59</v>
      </c>
      <c r="K37">
        <v>1.5923</v>
      </c>
      <c r="L37" t="s">
        <v>621</v>
      </c>
    </row>
    <row r="38" spans="1:12" x14ac:dyDescent="0.25">
      <c r="A38" t="s">
        <v>534</v>
      </c>
      <c r="B38">
        <v>8.7814700000000006</v>
      </c>
      <c r="C38">
        <v>8.8356200000000005</v>
      </c>
      <c r="D38">
        <v>8.8844100000000008</v>
      </c>
      <c r="E38">
        <v>8.9240899999999996</v>
      </c>
      <c r="F38">
        <v>8.9600000000000009</v>
      </c>
      <c r="G38">
        <v>9</v>
      </c>
      <c r="H38">
        <v>9.0500000000000007</v>
      </c>
      <c r="I38">
        <v>9.1</v>
      </c>
      <c r="J38">
        <v>8.8800000000000008</v>
      </c>
      <c r="K38">
        <v>8.8750999999999998</v>
      </c>
      <c r="L38" t="s">
        <v>621</v>
      </c>
    </row>
    <row r="39" spans="1:12" x14ac:dyDescent="0.25">
      <c r="A39" t="s">
        <v>2</v>
      </c>
      <c r="B39">
        <v>1.17303</v>
      </c>
      <c r="C39">
        <v>1.17669</v>
      </c>
      <c r="D39">
        <v>1.1799599999999999</v>
      </c>
      <c r="E39">
        <v>1.18262</v>
      </c>
      <c r="F39">
        <v>1.18</v>
      </c>
      <c r="G39">
        <v>1.19</v>
      </c>
      <c r="H39">
        <v>1.19</v>
      </c>
      <c r="I39">
        <v>1.19</v>
      </c>
      <c r="J39">
        <v>1.1399999999999999</v>
      </c>
      <c r="K39">
        <v>1.13954</v>
      </c>
      <c r="L39" t="s">
        <v>621</v>
      </c>
    </row>
    <row r="40" spans="1:12" x14ac:dyDescent="0.25">
      <c r="A40" t="s">
        <v>535</v>
      </c>
      <c r="B40">
        <v>18.986160000000002</v>
      </c>
      <c r="C40">
        <v>19.09872</v>
      </c>
      <c r="D40">
        <v>19.200150000000001</v>
      </c>
      <c r="E40">
        <v>19.28276</v>
      </c>
      <c r="F40">
        <v>19.350000000000001</v>
      </c>
      <c r="G40">
        <v>19.440000000000001</v>
      </c>
      <c r="H40">
        <v>19.54</v>
      </c>
      <c r="I40">
        <v>19.66</v>
      </c>
      <c r="J40">
        <v>19.23</v>
      </c>
      <c r="K40">
        <v>19.226759999999999</v>
      </c>
      <c r="L40" t="s">
        <v>621</v>
      </c>
    </row>
    <row r="41" spans="1:12" x14ac:dyDescent="0.25">
      <c r="A41" t="s">
        <v>536</v>
      </c>
      <c r="B41">
        <v>1.75061</v>
      </c>
      <c r="C41">
        <v>1.75749</v>
      </c>
      <c r="D41">
        <v>1.7636700000000001</v>
      </c>
      <c r="E41">
        <v>1.76868</v>
      </c>
      <c r="F41">
        <v>1.77</v>
      </c>
      <c r="G41">
        <v>1.78</v>
      </c>
      <c r="H41">
        <v>1.78</v>
      </c>
      <c r="I41">
        <v>1.79</v>
      </c>
      <c r="J41">
        <v>1.76</v>
      </c>
      <c r="K41">
        <v>1.76309</v>
      </c>
      <c r="L41" t="s">
        <v>621</v>
      </c>
    </row>
    <row r="42" spans="1:12" x14ac:dyDescent="0.25">
      <c r="A42" t="s">
        <v>537</v>
      </c>
      <c r="B42">
        <v>1.6868700000000001</v>
      </c>
      <c r="C42">
        <v>1.6928000000000001</v>
      </c>
      <c r="D42">
        <v>1.6981200000000001</v>
      </c>
      <c r="E42">
        <v>1.70244</v>
      </c>
      <c r="F42">
        <v>1.71</v>
      </c>
      <c r="G42">
        <v>1.71</v>
      </c>
      <c r="H42">
        <v>1.72</v>
      </c>
      <c r="I42">
        <v>1.72</v>
      </c>
      <c r="J42">
        <v>1.65</v>
      </c>
      <c r="K42">
        <v>1.6501300000000001</v>
      </c>
      <c r="L42" t="s">
        <v>621</v>
      </c>
    </row>
    <row r="43" spans="1:12" x14ac:dyDescent="0.25">
      <c r="A43" t="s">
        <v>538</v>
      </c>
      <c r="B43">
        <v>1.1630400000000001</v>
      </c>
      <c r="C43">
        <v>1.1676899999999999</v>
      </c>
      <c r="D43">
        <v>1.1718500000000001</v>
      </c>
      <c r="E43">
        <v>1.17523</v>
      </c>
      <c r="F43">
        <v>1.18</v>
      </c>
      <c r="G43">
        <v>1.18</v>
      </c>
      <c r="H43">
        <v>1.19</v>
      </c>
      <c r="I43">
        <v>1.19</v>
      </c>
      <c r="J43">
        <v>1.17</v>
      </c>
      <c r="K43">
        <v>1.17228</v>
      </c>
      <c r="L43" t="s">
        <v>621</v>
      </c>
    </row>
    <row r="44" spans="1:12" x14ac:dyDescent="0.25">
      <c r="A44" t="s">
        <v>539</v>
      </c>
      <c r="B44">
        <v>8.0309100000000004</v>
      </c>
      <c r="C44">
        <v>8.0584799999998999</v>
      </c>
      <c r="D44">
        <v>8.0831900000000001</v>
      </c>
      <c r="E44">
        <v>8.1031700000000004</v>
      </c>
      <c r="F44">
        <v>8.1199999999999992</v>
      </c>
      <c r="G44">
        <v>8.14</v>
      </c>
      <c r="H44">
        <v>8.17</v>
      </c>
      <c r="I44">
        <v>8.19</v>
      </c>
      <c r="J44">
        <v>8.35</v>
      </c>
      <c r="K44">
        <v>8.3541299999999996</v>
      </c>
      <c r="L44" t="s">
        <v>621</v>
      </c>
    </row>
    <row r="45" spans="1:12" x14ac:dyDescent="0.25">
      <c r="A45" t="s">
        <v>540</v>
      </c>
      <c r="B45">
        <v>9.8893000000000004</v>
      </c>
      <c r="C45">
        <v>9.9286999999998997</v>
      </c>
      <c r="D45">
        <v>9.9641999999999999</v>
      </c>
      <c r="E45">
        <v>9.9929000000000006</v>
      </c>
      <c r="F45">
        <v>10.02</v>
      </c>
      <c r="G45">
        <v>10.050000000000001</v>
      </c>
      <c r="H45">
        <v>10.08</v>
      </c>
      <c r="I45">
        <v>10.119999999999999</v>
      </c>
      <c r="J45">
        <v>10.07</v>
      </c>
      <c r="K45">
        <v>10.0679</v>
      </c>
      <c r="L45" t="s">
        <v>621</v>
      </c>
    </row>
    <row r="46" spans="1:12" x14ac:dyDescent="0.25">
      <c r="A46" t="s">
        <v>3</v>
      </c>
      <c r="B46">
        <v>133.19</v>
      </c>
      <c r="C46">
        <v>133.80000000000001</v>
      </c>
      <c r="D46">
        <v>134.34800000000001</v>
      </c>
      <c r="E46">
        <v>134.79300000000001</v>
      </c>
      <c r="F46">
        <v>135.16999999999999</v>
      </c>
      <c r="G46">
        <v>135.62</v>
      </c>
      <c r="H46">
        <v>136.18</v>
      </c>
      <c r="I46">
        <v>136.80000000000001</v>
      </c>
      <c r="J46">
        <v>134.81</v>
      </c>
      <c r="K46">
        <v>134.80600000000001</v>
      </c>
      <c r="L46" t="s">
        <v>621</v>
      </c>
    </row>
    <row r="47" spans="1:12" x14ac:dyDescent="0.25">
      <c r="A47" t="s">
        <v>541</v>
      </c>
      <c r="B47">
        <v>26.828800000000001</v>
      </c>
      <c r="C47">
        <v>26.978400000000001</v>
      </c>
      <c r="D47">
        <v>27.113</v>
      </c>
      <c r="E47">
        <v>27.2225</v>
      </c>
      <c r="F47">
        <v>27.32</v>
      </c>
      <c r="G47">
        <v>27.43</v>
      </c>
      <c r="H47">
        <v>27.56</v>
      </c>
      <c r="I47">
        <v>27.72</v>
      </c>
      <c r="J47">
        <v>26.66</v>
      </c>
      <c r="K47">
        <v>26.663699999999999</v>
      </c>
      <c r="L47" t="s">
        <v>621</v>
      </c>
    </row>
    <row r="48" spans="1:12" x14ac:dyDescent="0.25">
      <c r="A48" t="s">
        <v>542</v>
      </c>
      <c r="B48">
        <v>11.60097</v>
      </c>
      <c r="C48">
        <v>11.643890000000001</v>
      </c>
      <c r="D48">
        <v>11.68238</v>
      </c>
      <c r="E48">
        <v>11.7136</v>
      </c>
      <c r="F48">
        <v>11.74</v>
      </c>
      <c r="G48">
        <v>11.77</v>
      </c>
      <c r="H48">
        <v>11.81</v>
      </c>
      <c r="I48">
        <v>11.85</v>
      </c>
      <c r="J48">
        <v>11.68</v>
      </c>
      <c r="K48">
        <v>11.68202</v>
      </c>
      <c r="L48" t="s">
        <v>621</v>
      </c>
    </row>
    <row r="49" spans="1:12" x14ac:dyDescent="0.25">
      <c r="A49" t="s">
        <v>543</v>
      </c>
      <c r="B49">
        <v>1.88713</v>
      </c>
      <c r="C49">
        <v>1.8951100000000001</v>
      </c>
      <c r="D49">
        <v>1.90228</v>
      </c>
      <c r="E49">
        <v>1.9080999999999999</v>
      </c>
      <c r="F49">
        <v>1.91</v>
      </c>
      <c r="G49">
        <v>1.92</v>
      </c>
      <c r="H49">
        <v>1.93</v>
      </c>
      <c r="I49">
        <v>1.93</v>
      </c>
      <c r="J49">
        <v>1.9</v>
      </c>
      <c r="K49">
        <v>1.9028700000000001</v>
      </c>
      <c r="L49" t="s">
        <v>621</v>
      </c>
    </row>
    <row r="50" spans="1:12" x14ac:dyDescent="0.25">
      <c r="A50" t="s">
        <v>544</v>
      </c>
      <c r="B50">
        <v>4.8027800000000003</v>
      </c>
      <c r="C50">
        <v>4.82097</v>
      </c>
      <c r="D50">
        <v>4.8372799999999998</v>
      </c>
      <c r="E50">
        <v>4.8505200000000004</v>
      </c>
      <c r="F50">
        <v>4.8600000000000003</v>
      </c>
      <c r="G50">
        <v>4.88</v>
      </c>
      <c r="H50">
        <v>4.8899999999999997</v>
      </c>
      <c r="I50">
        <v>4.91</v>
      </c>
      <c r="J50">
        <v>4.88</v>
      </c>
      <c r="K50">
        <v>4.87948</v>
      </c>
      <c r="L50" t="s">
        <v>621</v>
      </c>
    </row>
    <row r="51" spans="1:12" x14ac:dyDescent="0.25">
      <c r="A51" t="s">
        <v>545</v>
      </c>
      <c r="B51">
        <v>11.186349999999999</v>
      </c>
      <c r="C51">
        <v>11.228389999999999</v>
      </c>
      <c r="D51">
        <v>11.266109999999999</v>
      </c>
      <c r="E51">
        <v>11.29668</v>
      </c>
      <c r="F51">
        <v>11.32</v>
      </c>
      <c r="G51">
        <v>11.35</v>
      </c>
      <c r="H51">
        <v>11.39</v>
      </c>
      <c r="I51">
        <v>11.43</v>
      </c>
      <c r="J51">
        <v>11.25</v>
      </c>
      <c r="K51">
        <v>11.246219999999999</v>
      </c>
      <c r="L51" t="s">
        <v>621</v>
      </c>
    </row>
    <row r="52" spans="1:12" x14ac:dyDescent="0.25">
      <c r="A52" t="s">
        <v>546</v>
      </c>
      <c r="B52">
        <v>1.73702</v>
      </c>
      <c r="C52">
        <v>1.74318</v>
      </c>
      <c r="D52">
        <v>1.7486999999999999</v>
      </c>
      <c r="E52">
        <v>1.75318</v>
      </c>
      <c r="F52">
        <v>1.76</v>
      </c>
      <c r="G52">
        <v>1.76</v>
      </c>
      <c r="H52">
        <v>1.77</v>
      </c>
      <c r="I52">
        <v>1.77</v>
      </c>
      <c r="J52">
        <v>1.73</v>
      </c>
      <c r="K52">
        <v>1.7283599999999999</v>
      </c>
      <c r="L52" t="s">
        <v>621</v>
      </c>
    </row>
    <row r="53" spans="1:12" x14ac:dyDescent="0.25">
      <c r="A53" t="s">
        <v>4</v>
      </c>
      <c r="B53">
        <v>1.27844</v>
      </c>
      <c r="C53">
        <v>1.28285</v>
      </c>
      <c r="D53">
        <v>1.28681</v>
      </c>
      <c r="E53">
        <v>1.2900199999999999</v>
      </c>
      <c r="F53">
        <v>1.29</v>
      </c>
      <c r="G53">
        <v>1.3</v>
      </c>
      <c r="H53">
        <v>1.3</v>
      </c>
      <c r="I53">
        <v>1.3</v>
      </c>
      <c r="J53">
        <v>1.27</v>
      </c>
      <c r="K53">
        <v>1.27162</v>
      </c>
      <c r="L53" t="s">
        <v>621</v>
      </c>
    </row>
    <row r="54" spans="1:12" x14ac:dyDescent="0.25">
      <c r="A54" t="s">
        <v>547</v>
      </c>
      <c r="B54">
        <v>20.676500000000001</v>
      </c>
      <c r="C54">
        <v>20.8094</v>
      </c>
      <c r="D54">
        <v>20.929400000000001</v>
      </c>
      <c r="E54">
        <v>21.027200000000001</v>
      </c>
      <c r="F54">
        <v>21.11</v>
      </c>
      <c r="G54">
        <v>21.21</v>
      </c>
      <c r="H54">
        <v>21.33</v>
      </c>
      <c r="I54">
        <v>21.47</v>
      </c>
      <c r="J54">
        <v>21.1</v>
      </c>
      <c r="K54">
        <v>21.098500000000001</v>
      </c>
      <c r="L54" t="s">
        <v>621</v>
      </c>
    </row>
    <row r="55" spans="1:12" x14ac:dyDescent="0.25">
      <c r="A55" t="s">
        <v>548</v>
      </c>
      <c r="B55">
        <v>13.353300000000001</v>
      </c>
      <c r="C55">
        <v>13.3993</v>
      </c>
      <c r="D55">
        <v>13.4405</v>
      </c>
      <c r="E55">
        <v>13.4739</v>
      </c>
      <c r="F55">
        <v>13.5</v>
      </c>
      <c r="G55">
        <v>13.54</v>
      </c>
      <c r="H55">
        <v>13.58</v>
      </c>
      <c r="I55">
        <v>13.62</v>
      </c>
      <c r="J55">
        <v>13.48</v>
      </c>
      <c r="K55">
        <v>13.4846</v>
      </c>
      <c r="L55" t="s">
        <v>621</v>
      </c>
    </row>
    <row r="56" spans="1:12" x14ac:dyDescent="0.25">
      <c r="A56" t="s">
        <v>549</v>
      </c>
      <c r="B56">
        <v>0.68435000000000001</v>
      </c>
      <c r="C56">
        <v>0.68615000000000004</v>
      </c>
      <c r="D56">
        <v>0.68774999999999997</v>
      </c>
      <c r="E56">
        <v>0.68905000000000005</v>
      </c>
      <c r="F56">
        <v>0.69</v>
      </c>
      <c r="G56">
        <v>0.69</v>
      </c>
      <c r="H56">
        <v>0.69</v>
      </c>
      <c r="I56">
        <v>0.69</v>
      </c>
      <c r="J56">
        <v>0.69</v>
      </c>
      <c r="K56">
        <v>0.69462999999999997</v>
      </c>
      <c r="L56" t="s">
        <v>621</v>
      </c>
    </row>
    <row r="57" spans="1:12" x14ac:dyDescent="0.25">
      <c r="A57" t="s">
        <v>550</v>
      </c>
      <c r="B57">
        <v>11.3293</v>
      </c>
      <c r="C57">
        <v>11.3802</v>
      </c>
      <c r="D57">
        <v>11.4259</v>
      </c>
      <c r="E57">
        <v>11.462999999999999</v>
      </c>
      <c r="F57">
        <v>11.49</v>
      </c>
      <c r="G57">
        <v>11.53</v>
      </c>
      <c r="H57">
        <v>11.58</v>
      </c>
      <c r="I57">
        <v>11.63</v>
      </c>
      <c r="J57">
        <v>11.24</v>
      </c>
      <c r="K57">
        <v>11.241</v>
      </c>
      <c r="L57" t="s">
        <v>621</v>
      </c>
    </row>
    <row r="58" spans="1:12" x14ac:dyDescent="0.25">
      <c r="A58" t="s">
        <v>551</v>
      </c>
      <c r="B58">
        <v>0.95272999999999997</v>
      </c>
      <c r="C58">
        <v>0.95518000000000003</v>
      </c>
      <c r="D58">
        <v>0.95737000000000005</v>
      </c>
      <c r="E58">
        <v>0.95913999999999999</v>
      </c>
      <c r="F58">
        <v>0.96</v>
      </c>
      <c r="G58">
        <v>0.96</v>
      </c>
      <c r="H58">
        <v>0.96</v>
      </c>
      <c r="I58">
        <v>0.97</v>
      </c>
      <c r="J58">
        <v>0.95</v>
      </c>
      <c r="K58">
        <v>0.94564999999999999</v>
      </c>
      <c r="L58" t="s">
        <v>621</v>
      </c>
    </row>
    <row r="59" spans="1:12" x14ac:dyDescent="0.25">
      <c r="A59" t="s">
        <v>552</v>
      </c>
      <c r="B59">
        <v>0.88214000000000004</v>
      </c>
      <c r="C59">
        <v>0.88529000000000002</v>
      </c>
      <c r="D59">
        <v>0.88812000000000002</v>
      </c>
      <c r="E59">
        <v>0.89041000000000003</v>
      </c>
      <c r="F59">
        <v>0.89</v>
      </c>
      <c r="G59">
        <v>0.89</v>
      </c>
      <c r="H59">
        <v>0.9</v>
      </c>
      <c r="I59">
        <v>0.9</v>
      </c>
      <c r="J59">
        <v>0.88</v>
      </c>
      <c r="K59">
        <v>0.88290000000000002</v>
      </c>
      <c r="L59" t="s">
        <v>621</v>
      </c>
    </row>
    <row r="60" spans="1:12" x14ac:dyDescent="0.25">
      <c r="A60" t="s">
        <v>553</v>
      </c>
      <c r="B60">
        <v>0.60724</v>
      </c>
      <c r="C60">
        <v>0.60997999999999997</v>
      </c>
      <c r="D60">
        <v>0.61245000000000005</v>
      </c>
      <c r="E60">
        <v>0.61445000000000005</v>
      </c>
      <c r="F60">
        <v>0.62</v>
      </c>
      <c r="G60">
        <v>0.62</v>
      </c>
      <c r="H60">
        <v>0.62</v>
      </c>
      <c r="I60">
        <v>0.62</v>
      </c>
      <c r="J60">
        <v>0.62</v>
      </c>
      <c r="K60">
        <v>0.62197000000000002</v>
      </c>
      <c r="L60" t="s">
        <v>621</v>
      </c>
    </row>
    <row r="61" spans="1:12" x14ac:dyDescent="0.25">
      <c r="A61" t="s">
        <v>554</v>
      </c>
      <c r="B61">
        <v>69.67</v>
      </c>
      <c r="C61">
        <v>69.989000000000004</v>
      </c>
      <c r="D61">
        <v>70.275999999999996</v>
      </c>
      <c r="E61">
        <v>70.509</v>
      </c>
      <c r="F61">
        <v>70.709999999999994</v>
      </c>
      <c r="G61">
        <v>70.94</v>
      </c>
      <c r="H61">
        <v>71.23</v>
      </c>
      <c r="I61">
        <v>71.56</v>
      </c>
      <c r="J61">
        <v>70.25</v>
      </c>
      <c r="K61">
        <v>70.248000000000005</v>
      </c>
      <c r="L61" t="s">
        <v>621</v>
      </c>
    </row>
    <row r="62" spans="1:12" x14ac:dyDescent="0.25">
      <c r="A62" t="s">
        <v>555</v>
      </c>
      <c r="B62">
        <v>0.66744000000000003</v>
      </c>
      <c r="C62">
        <v>0.67023999999990003</v>
      </c>
      <c r="D62">
        <v>0.67274999999999996</v>
      </c>
      <c r="E62">
        <v>0.67476999999999998</v>
      </c>
      <c r="F62">
        <v>0.68</v>
      </c>
      <c r="G62">
        <v>0.68</v>
      </c>
      <c r="H62">
        <v>0.68</v>
      </c>
      <c r="I62">
        <v>0.68</v>
      </c>
      <c r="J62">
        <v>0.67</v>
      </c>
      <c r="K62">
        <v>0.66566000000000003</v>
      </c>
      <c r="L62" t="s">
        <v>621</v>
      </c>
    </row>
    <row r="63" spans="1:12" x14ac:dyDescent="0.25">
      <c r="A63" t="s">
        <v>556</v>
      </c>
      <c r="B63">
        <v>5.6661000000000001</v>
      </c>
      <c r="C63">
        <v>5.6760000000000002</v>
      </c>
      <c r="D63">
        <v>5.6848999999999998</v>
      </c>
      <c r="E63">
        <v>5.6920000000000002</v>
      </c>
      <c r="F63">
        <v>5.7</v>
      </c>
      <c r="G63">
        <v>5.71</v>
      </c>
      <c r="H63">
        <v>5.71</v>
      </c>
      <c r="I63">
        <v>5.72</v>
      </c>
      <c r="J63">
        <v>5.86</v>
      </c>
      <c r="K63">
        <v>5.8563000000000001</v>
      </c>
      <c r="L63" t="s">
        <v>621</v>
      </c>
    </row>
    <row r="64" spans="1:12" x14ac:dyDescent="0.25">
      <c r="A64" t="s">
        <v>557</v>
      </c>
      <c r="B64">
        <v>76.085999999999999</v>
      </c>
      <c r="C64">
        <v>76.341999999999999</v>
      </c>
      <c r="D64">
        <v>76.572000000000003</v>
      </c>
      <c r="E64">
        <v>76.757000000000005</v>
      </c>
      <c r="F64">
        <v>76.92</v>
      </c>
      <c r="G64">
        <v>77.099999999999994</v>
      </c>
      <c r="H64">
        <v>77.33</v>
      </c>
      <c r="I64">
        <v>77.59</v>
      </c>
      <c r="J64">
        <v>76.790000000000006</v>
      </c>
      <c r="K64">
        <v>76.786000000000001</v>
      </c>
      <c r="L64" t="s">
        <v>621</v>
      </c>
    </row>
    <row r="65" spans="1:12" x14ac:dyDescent="0.25">
      <c r="A65" t="s">
        <v>558</v>
      </c>
      <c r="B65">
        <v>13.412000000000001</v>
      </c>
      <c r="C65">
        <v>13.523999999999999</v>
      </c>
      <c r="D65">
        <v>13.625999999999999</v>
      </c>
      <c r="E65">
        <v>13.709</v>
      </c>
      <c r="F65">
        <v>13.78</v>
      </c>
      <c r="G65">
        <v>13.87</v>
      </c>
      <c r="H65">
        <v>13.97</v>
      </c>
      <c r="I65">
        <v>14.09</v>
      </c>
      <c r="J65">
        <v>13.68</v>
      </c>
      <c r="K65">
        <v>13.68</v>
      </c>
      <c r="L65" t="s">
        <v>621</v>
      </c>
    </row>
    <row r="66" spans="1:12" x14ac:dyDescent="0.25">
      <c r="A66" t="s">
        <v>559</v>
      </c>
      <c r="B66">
        <v>1.3089299999999999</v>
      </c>
      <c r="C66">
        <v>1.3127200000000001</v>
      </c>
      <c r="D66">
        <v>1.31613</v>
      </c>
      <c r="E66">
        <v>1.3188800000000001</v>
      </c>
      <c r="F66">
        <v>1.32</v>
      </c>
      <c r="G66">
        <v>1.32</v>
      </c>
      <c r="H66">
        <v>1.33</v>
      </c>
      <c r="I66">
        <v>1.33</v>
      </c>
      <c r="J66">
        <v>1.33</v>
      </c>
      <c r="K66">
        <v>1.32694</v>
      </c>
      <c r="L66" t="s">
        <v>621</v>
      </c>
    </row>
    <row r="67" spans="1:12" x14ac:dyDescent="0.25">
      <c r="A67" t="s">
        <v>560</v>
      </c>
      <c r="B67">
        <v>0.90171999999999997</v>
      </c>
      <c r="C67">
        <v>0.90500999999999998</v>
      </c>
      <c r="D67">
        <v>0.90795999999999999</v>
      </c>
      <c r="E67">
        <v>0.91034000000000004</v>
      </c>
      <c r="F67">
        <v>0.91</v>
      </c>
      <c r="G67">
        <v>0.91</v>
      </c>
      <c r="H67">
        <v>0.92</v>
      </c>
      <c r="I67">
        <v>0.92</v>
      </c>
      <c r="J67">
        <v>0.92</v>
      </c>
      <c r="K67">
        <v>0.92405999999999999</v>
      </c>
      <c r="L67" t="s">
        <v>621</v>
      </c>
    </row>
    <row r="68" spans="1:12" x14ac:dyDescent="0.25">
      <c r="A68" t="s">
        <v>561</v>
      </c>
      <c r="B68">
        <v>22.312000000000001</v>
      </c>
      <c r="C68">
        <v>22.390999999999998</v>
      </c>
      <c r="D68">
        <v>22.462</v>
      </c>
      <c r="E68">
        <v>22.52</v>
      </c>
      <c r="F68">
        <v>22.57</v>
      </c>
      <c r="G68">
        <v>22.63</v>
      </c>
      <c r="H68">
        <v>22.7</v>
      </c>
      <c r="I68">
        <v>22.78</v>
      </c>
      <c r="J68">
        <v>22.12</v>
      </c>
      <c r="K68">
        <v>22.117000000000001</v>
      </c>
      <c r="L68" t="s">
        <v>621</v>
      </c>
    </row>
    <row r="69" spans="1:12" x14ac:dyDescent="0.25">
      <c r="A69" t="s">
        <v>562</v>
      </c>
      <c r="B69">
        <v>6.2280600000000002</v>
      </c>
      <c r="C69">
        <v>6.2473799999999997</v>
      </c>
      <c r="D69">
        <v>6.2646899999999999</v>
      </c>
      <c r="E69">
        <v>6.2787199999999999</v>
      </c>
      <c r="F69">
        <v>6.29</v>
      </c>
      <c r="G69">
        <v>6.3</v>
      </c>
      <c r="H69">
        <v>6.32</v>
      </c>
      <c r="I69">
        <v>6.34</v>
      </c>
      <c r="J69">
        <v>6.26</v>
      </c>
      <c r="K69">
        <v>6.2624500000000003</v>
      </c>
      <c r="L69" t="s">
        <v>621</v>
      </c>
    </row>
    <row r="70" spans="1:12" x14ac:dyDescent="0.25">
      <c r="A70" t="s">
        <v>563</v>
      </c>
      <c r="B70">
        <v>7.74472</v>
      </c>
      <c r="C70">
        <v>7.7463699999999998</v>
      </c>
      <c r="D70">
        <v>7.7478300000000004</v>
      </c>
      <c r="E70">
        <v>7.7490199999999998</v>
      </c>
      <c r="F70">
        <v>7.75</v>
      </c>
      <c r="G70">
        <v>7.75</v>
      </c>
      <c r="H70">
        <v>7.75</v>
      </c>
      <c r="I70">
        <v>7.75</v>
      </c>
      <c r="J70">
        <v>7.61</v>
      </c>
      <c r="K70">
        <v>7.60968</v>
      </c>
      <c r="L70" t="s">
        <v>621</v>
      </c>
    </row>
    <row r="71" spans="1:12" x14ac:dyDescent="0.25">
      <c r="A71" t="s">
        <v>564</v>
      </c>
      <c r="B71">
        <v>300.41500000000002</v>
      </c>
      <c r="C71">
        <v>301.62200000000001</v>
      </c>
      <c r="D71">
        <v>302.70600000000002</v>
      </c>
      <c r="E71">
        <v>303.584</v>
      </c>
      <c r="F71">
        <v>304.33999999999997</v>
      </c>
      <c r="G71">
        <v>305.22000000000003</v>
      </c>
      <c r="H71">
        <v>306.31</v>
      </c>
      <c r="I71">
        <v>307.55</v>
      </c>
      <c r="J71">
        <v>288.68</v>
      </c>
      <c r="K71">
        <v>288.68200000000002</v>
      </c>
      <c r="L71" t="s">
        <v>621</v>
      </c>
    </row>
    <row r="72" spans="1:12" x14ac:dyDescent="0.25">
      <c r="A72" t="s">
        <v>565</v>
      </c>
      <c r="B72">
        <v>3.3865799999999999</v>
      </c>
      <c r="C72">
        <v>3.39445</v>
      </c>
      <c r="D72">
        <v>3.4014899999999999</v>
      </c>
      <c r="E72">
        <v>3.4071799999999999</v>
      </c>
      <c r="F72">
        <v>3.41</v>
      </c>
      <c r="G72">
        <v>3.42</v>
      </c>
      <c r="H72">
        <v>3.42</v>
      </c>
      <c r="I72">
        <v>3.43</v>
      </c>
      <c r="J72">
        <v>3.38</v>
      </c>
      <c r="K72">
        <v>3.37792</v>
      </c>
      <c r="L72" t="s">
        <v>621</v>
      </c>
    </row>
    <row r="73" spans="1:12" x14ac:dyDescent="0.25">
      <c r="A73" t="s">
        <v>5</v>
      </c>
      <c r="B73">
        <v>103.526</v>
      </c>
      <c r="C73">
        <v>103.871</v>
      </c>
      <c r="D73">
        <v>104.184</v>
      </c>
      <c r="E73">
        <v>104.446</v>
      </c>
      <c r="F73">
        <v>104.68</v>
      </c>
      <c r="G73">
        <v>104.94</v>
      </c>
      <c r="H73">
        <v>105.26</v>
      </c>
      <c r="I73">
        <v>105.61</v>
      </c>
      <c r="J73">
        <v>104.26</v>
      </c>
      <c r="K73">
        <v>104.256</v>
      </c>
      <c r="L73" t="s">
        <v>621</v>
      </c>
    </row>
    <row r="74" spans="1:12" x14ac:dyDescent="0.25">
      <c r="A74" t="s">
        <v>566</v>
      </c>
      <c r="B74">
        <v>20.840440000000001</v>
      </c>
      <c r="C74">
        <v>20.933409999999999</v>
      </c>
      <c r="D74">
        <v>21.016950000000001</v>
      </c>
      <c r="E74">
        <v>21.084769999999999</v>
      </c>
      <c r="F74">
        <v>21.14</v>
      </c>
      <c r="G74">
        <v>21.21</v>
      </c>
      <c r="H74">
        <v>21.3</v>
      </c>
      <c r="I74">
        <v>21.39</v>
      </c>
      <c r="J74">
        <v>20.91</v>
      </c>
      <c r="K74">
        <v>20.914429999999999</v>
      </c>
      <c r="L74" t="s">
        <v>621</v>
      </c>
    </row>
    <row r="75" spans="1:12" x14ac:dyDescent="0.25">
      <c r="A75" t="s">
        <v>567</v>
      </c>
      <c r="B75">
        <v>8.9748300000000008</v>
      </c>
      <c r="C75">
        <v>9.0115499999999997</v>
      </c>
      <c r="D75">
        <v>9.0445200000000003</v>
      </c>
      <c r="E75">
        <v>9.0713000000000008</v>
      </c>
      <c r="F75">
        <v>9.09</v>
      </c>
      <c r="G75">
        <v>9.1199999999999992</v>
      </c>
      <c r="H75">
        <v>9.15</v>
      </c>
      <c r="I75">
        <v>9.19</v>
      </c>
      <c r="J75">
        <v>8.7200000000000006</v>
      </c>
      <c r="K75">
        <v>8.7240099999999998</v>
      </c>
      <c r="L75" t="s">
        <v>621</v>
      </c>
    </row>
    <row r="76" spans="1:12" x14ac:dyDescent="0.25">
      <c r="A76" t="s">
        <v>568</v>
      </c>
      <c r="B76">
        <v>3.7206100000000002</v>
      </c>
      <c r="C76">
        <v>3.7351899999999998</v>
      </c>
      <c r="D76">
        <v>3.7482700000000002</v>
      </c>
      <c r="E76">
        <v>3.7588699999999999</v>
      </c>
      <c r="F76">
        <v>3.77</v>
      </c>
      <c r="G76">
        <v>3.78</v>
      </c>
      <c r="H76">
        <v>3.79</v>
      </c>
      <c r="I76">
        <v>3.81</v>
      </c>
      <c r="J76">
        <v>3.86</v>
      </c>
      <c r="K76">
        <v>3.86131</v>
      </c>
      <c r="L76" t="s">
        <v>621</v>
      </c>
    </row>
    <row r="77" spans="1:12" x14ac:dyDescent="0.25">
      <c r="A77" t="s">
        <v>569</v>
      </c>
      <c r="B77">
        <v>4.0586099999999998</v>
      </c>
      <c r="C77">
        <v>4.0706600000000002</v>
      </c>
      <c r="D77">
        <v>4.0814500000000002</v>
      </c>
      <c r="E77">
        <v>4.0901800000000001</v>
      </c>
      <c r="F77">
        <v>4.0999999999999996</v>
      </c>
      <c r="G77">
        <v>4.1100000000000003</v>
      </c>
      <c r="H77">
        <v>4.12</v>
      </c>
      <c r="I77">
        <v>4.13</v>
      </c>
      <c r="J77">
        <v>3.91</v>
      </c>
      <c r="K77">
        <v>3.9074599999999999</v>
      </c>
      <c r="L77" t="s">
        <v>621</v>
      </c>
    </row>
    <row r="78" spans="1:12" x14ac:dyDescent="0.25">
      <c r="A78" t="s">
        <v>570</v>
      </c>
      <c r="B78">
        <v>73.641000000000005</v>
      </c>
      <c r="C78">
        <v>74.182000000000002</v>
      </c>
      <c r="D78">
        <v>74.67</v>
      </c>
      <c r="E78">
        <v>75.069000000000003</v>
      </c>
      <c r="F78">
        <v>75.41</v>
      </c>
      <c r="G78">
        <v>75.81</v>
      </c>
      <c r="H78">
        <v>76.31</v>
      </c>
      <c r="I78">
        <v>76.87</v>
      </c>
      <c r="J78">
        <v>75.05</v>
      </c>
      <c r="K78">
        <v>75.045000000000002</v>
      </c>
      <c r="L78" t="s">
        <v>621</v>
      </c>
    </row>
    <row r="79" spans="1:12" x14ac:dyDescent="0.25">
      <c r="A79" t="s">
        <v>571</v>
      </c>
      <c r="B79">
        <v>8.6527999999998997</v>
      </c>
      <c r="C79">
        <v>8.6850699999999996</v>
      </c>
      <c r="D79">
        <v>8.71401</v>
      </c>
      <c r="E79">
        <v>8.7374799999999997</v>
      </c>
      <c r="F79">
        <v>8.76</v>
      </c>
      <c r="G79">
        <v>8.7799999999999994</v>
      </c>
      <c r="H79">
        <v>8.81</v>
      </c>
      <c r="I79">
        <v>8.84</v>
      </c>
      <c r="J79">
        <v>8.66</v>
      </c>
      <c r="K79">
        <v>8.6598900000000008</v>
      </c>
      <c r="L79" t="s">
        <v>621</v>
      </c>
    </row>
    <row r="80" spans="1:12" x14ac:dyDescent="0.25">
      <c r="A80" t="s">
        <v>572</v>
      </c>
      <c r="B80">
        <v>1.3517300000000001</v>
      </c>
      <c r="C80">
        <v>1.3543700000000001</v>
      </c>
      <c r="D80">
        <v>1.3567400000000001</v>
      </c>
      <c r="E80">
        <v>1.3586499999999999</v>
      </c>
      <c r="F80">
        <v>1.36</v>
      </c>
      <c r="G80">
        <v>1.36</v>
      </c>
      <c r="H80">
        <v>1.36</v>
      </c>
      <c r="I80">
        <v>1.37</v>
      </c>
      <c r="J80">
        <v>1.35</v>
      </c>
      <c r="K80">
        <v>1.34965</v>
      </c>
      <c r="L80" t="s">
        <v>621</v>
      </c>
    </row>
    <row r="81" spans="1:12" x14ac:dyDescent="0.25">
      <c r="A81" t="s">
        <v>573</v>
      </c>
      <c r="B81">
        <v>30.901</v>
      </c>
      <c r="C81">
        <v>30.954000000000001</v>
      </c>
      <c r="D81">
        <v>31.001999999999999</v>
      </c>
      <c r="E81">
        <v>31.04</v>
      </c>
      <c r="F81">
        <v>31.07</v>
      </c>
      <c r="G81">
        <v>31.11</v>
      </c>
      <c r="H81">
        <v>31.16</v>
      </c>
      <c r="I81">
        <v>31.21</v>
      </c>
      <c r="J81">
        <v>31.2</v>
      </c>
      <c r="K81">
        <v>31.195</v>
      </c>
      <c r="L81" t="s">
        <v>621</v>
      </c>
    </row>
    <row r="82" spans="1:12" x14ac:dyDescent="0.25">
      <c r="A82" t="s">
        <v>574</v>
      </c>
      <c r="B82">
        <v>7.4019899999999996</v>
      </c>
      <c r="C82">
        <v>7.4483899999999998</v>
      </c>
      <c r="D82">
        <v>7.4902100000000003</v>
      </c>
      <c r="E82">
        <v>7.5242199999999997</v>
      </c>
      <c r="F82">
        <v>7.55</v>
      </c>
      <c r="G82">
        <v>7.59</v>
      </c>
      <c r="H82">
        <v>7.63</v>
      </c>
      <c r="I82">
        <v>7.68</v>
      </c>
      <c r="J82">
        <v>6.53</v>
      </c>
      <c r="K82">
        <v>6.5338200000000004</v>
      </c>
      <c r="L82" t="s">
        <v>621</v>
      </c>
    </row>
    <row r="83" spans="1:12" x14ac:dyDescent="0.25">
      <c r="A83" t="s">
        <v>575</v>
      </c>
      <c r="B83">
        <v>6.7488200000000003</v>
      </c>
      <c r="C83">
        <v>6.7588299999999997</v>
      </c>
      <c r="D83">
        <v>6.7677699999999996</v>
      </c>
      <c r="E83">
        <v>6.7750000000000004</v>
      </c>
      <c r="F83">
        <v>6.78</v>
      </c>
      <c r="G83">
        <v>6.79</v>
      </c>
      <c r="H83">
        <v>6.8</v>
      </c>
      <c r="I83">
        <v>6.81</v>
      </c>
      <c r="J83">
        <v>6.69</v>
      </c>
      <c r="K83">
        <v>6.69278</v>
      </c>
      <c r="L83" t="s">
        <v>621</v>
      </c>
    </row>
    <row r="84" spans="1:12" x14ac:dyDescent="0.25">
      <c r="A84" t="s">
        <v>576</v>
      </c>
      <c r="B84">
        <v>16.027619999999999</v>
      </c>
      <c r="C84">
        <v>16.12604</v>
      </c>
      <c r="D84">
        <v>16.21452</v>
      </c>
      <c r="E84">
        <v>16.285920000000001</v>
      </c>
      <c r="F84">
        <v>16.350000000000001</v>
      </c>
      <c r="G84">
        <v>16.420000000000002</v>
      </c>
      <c r="H84">
        <v>16.510000000000002</v>
      </c>
      <c r="I84">
        <v>16.61</v>
      </c>
      <c r="J84">
        <v>16.34</v>
      </c>
      <c r="K84">
        <v>16.341349999999998</v>
      </c>
      <c r="L84" t="s">
        <v>621</v>
      </c>
    </row>
    <row r="85" spans="1:12" x14ac:dyDescent="0.25">
      <c r="A85" t="s">
        <v>577</v>
      </c>
      <c r="B85">
        <v>6.2610000000000001</v>
      </c>
      <c r="C85">
        <v>6.3029999999999999</v>
      </c>
      <c r="D85">
        <v>6.34</v>
      </c>
      <c r="E85">
        <v>6.37</v>
      </c>
      <c r="F85">
        <v>6.4</v>
      </c>
      <c r="G85">
        <v>6.43</v>
      </c>
      <c r="H85">
        <v>6.46</v>
      </c>
      <c r="I85">
        <v>8490.1</v>
      </c>
      <c r="J85">
        <v>8490.1</v>
      </c>
      <c r="K85" t="s">
        <v>621</v>
      </c>
      <c r="L85" t="s">
        <v>621</v>
      </c>
    </row>
    <row r="86" spans="1:12" x14ac:dyDescent="0.25">
      <c r="A86" t="s">
        <v>578</v>
      </c>
      <c r="B86">
        <v>8665.0599999998994</v>
      </c>
      <c r="C86">
        <v>8908.9699999998993</v>
      </c>
      <c r="D86">
        <v>9116.8799999998992</v>
      </c>
      <c r="E86">
        <v>9302.01</v>
      </c>
      <c r="F86">
        <v>9519.1</v>
      </c>
      <c r="G86">
        <v>9787.0400000000009</v>
      </c>
      <c r="H86">
        <v>10087.31</v>
      </c>
      <c r="I86">
        <v>10423.219999999999</v>
      </c>
      <c r="J86">
        <v>10423.219999999999</v>
      </c>
      <c r="K86" t="s">
        <v>621</v>
      </c>
    </row>
    <row r="87" spans="1:12" x14ac:dyDescent="0.25">
      <c r="A87" t="s">
        <v>579</v>
      </c>
      <c r="B87">
        <v>10248.33</v>
      </c>
      <c r="C87">
        <v>10542.1</v>
      </c>
      <c r="D87">
        <v>10790.67</v>
      </c>
      <c r="E87">
        <v>11010</v>
      </c>
      <c r="F87">
        <v>11269.59</v>
      </c>
      <c r="G87">
        <v>11592.64</v>
      </c>
      <c r="H87">
        <v>11955.57</v>
      </c>
      <c r="I87">
        <v>1099381</v>
      </c>
      <c r="J87">
        <v>1099381</v>
      </c>
      <c r="K87" t="s">
        <v>621</v>
      </c>
    </row>
    <row r="88" spans="1:12" x14ac:dyDescent="0.25">
      <c r="A88" t="s">
        <v>580</v>
      </c>
      <c r="B88">
        <v>1070220</v>
      </c>
      <c r="C88">
        <v>1101458</v>
      </c>
      <c r="D88">
        <v>1128108</v>
      </c>
      <c r="E88">
        <v>1151840</v>
      </c>
      <c r="F88">
        <v>1179708</v>
      </c>
      <c r="G88">
        <v>1214142</v>
      </c>
      <c r="H88">
        <v>1252743</v>
      </c>
      <c r="I88">
        <v>179.29</v>
      </c>
      <c r="J88">
        <v>179.29</v>
      </c>
      <c r="K88" t="s">
        <v>621</v>
      </c>
    </row>
    <row r="89" spans="1:12" x14ac:dyDescent="0.25">
      <c r="A89" t="s">
        <v>616</v>
      </c>
      <c r="B89">
        <v>202.23</v>
      </c>
      <c r="C89">
        <v>212.32</v>
      </c>
      <c r="D89">
        <v>221.24</v>
      </c>
      <c r="E89">
        <v>229.39</v>
      </c>
      <c r="F89">
        <v>239.03</v>
      </c>
      <c r="G89">
        <v>250.96</v>
      </c>
      <c r="H89">
        <v>264.33999999999997</v>
      </c>
      <c r="I89">
        <v>327.39</v>
      </c>
      <c r="J89">
        <v>327.39</v>
      </c>
      <c r="K89" t="s">
        <v>621</v>
      </c>
    </row>
    <row r="90" spans="1:12" x14ac:dyDescent="0.25">
      <c r="A90" t="s">
        <v>617</v>
      </c>
      <c r="B90">
        <v>343.19</v>
      </c>
      <c r="C90">
        <v>355.07</v>
      </c>
      <c r="D90">
        <v>365.28</v>
      </c>
      <c r="E90">
        <v>374.41</v>
      </c>
      <c r="F90">
        <v>385.18</v>
      </c>
      <c r="G90">
        <v>398.52</v>
      </c>
      <c r="H90">
        <v>413.48</v>
      </c>
      <c r="I90">
        <v>-1.72</v>
      </c>
      <c r="J90">
        <v>-1.72</v>
      </c>
      <c r="K90" t="s">
        <v>621</v>
      </c>
    </row>
    <row r="91" spans="1:12" x14ac:dyDescent="0.25">
      <c r="A91" t="s">
        <v>618</v>
      </c>
      <c r="B91">
        <v>7.36</v>
      </c>
      <c r="C91">
        <v>7.67</v>
      </c>
      <c r="D91">
        <v>7.94</v>
      </c>
      <c r="E91">
        <v>8.18</v>
      </c>
      <c r="F91">
        <v>8.4700000000000006</v>
      </c>
      <c r="G91">
        <v>8.82</v>
      </c>
      <c r="H91">
        <v>9.2200000000000006</v>
      </c>
      <c r="I91">
        <v>2.0299999999999998</v>
      </c>
      <c r="J91">
        <v>2.0299999999999998</v>
      </c>
      <c r="K91" t="s">
        <v>621</v>
      </c>
    </row>
    <row r="92" spans="1:12" x14ac:dyDescent="0.25">
      <c r="A92" t="s">
        <v>619</v>
      </c>
      <c r="B92">
        <v>2.36</v>
      </c>
      <c r="C92">
        <v>2.4900000000000002</v>
      </c>
      <c r="D92">
        <v>2.6</v>
      </c>
      <c r="E92">
        <v>2.7</v>
      </c>
      <c r="F92">
        <v>2.83</v>
      </c>
      <c r="G92">
        <v>2.98</v>
      </c>
      <c r="H92">
        <v>3.15</v>
      </c>
      <c r="I92">
        <v>42.63</v>
      </c>
      <c r="J92">
        <v>42.63</v>
      </c>
      <c r="K92" t="s">
        <v>621</v>
      </c>
    </row>
    <row r="93" spans="1:12" x14ac:dyDescent="0.25">
      <c r="A93" t="s">
        <v>620</v>
      </c>
      <c r="B93">
        <v>43.12</v>
      </c>
      <c r="C93">
        <v>44.82</v>
      </c>
      <c r="D93">
        <v>46.28</v>
      </c>
      <c r="E93">
        <v>47.6</v>
      </c>
      <c r="F93">
        <v>49.16</v>
      </c>
      <c r="G93">
        <v>51.09</v>
      </c>
      <c r="H93">
        <v>53.26</v>
      </c>
      <c r="I93">
        <v>0.11</v>
      </c>
      <c r="J93">
        <v>0.1056</v>
      </c>
      <c r="K93" t="s">
        <v>621</v>
      </c>
    </row>
    <row r="94" spans="1:12" x14ac:dyDescent="0.25">
      <c r="A94" t="s">
        <v>581</v>
      </c>
      <c r="B94">
        <v>26.059000000000001</v>
      </c>
      <c r="C94">
        <v>26.286999999999999</v>
      </c>
      <c r="D94">
        <v>26.495000000000001</v>
      </c>
      <c r="E94">
        <v>26.664999999999999</v>
      </c>
      <c r="F94">
        <v>26.81</v>
      </c>
      <c r="G94">
        <v>26.98</v>
      </c>
      <c r="H94">
        <v>27.2</v>
      </c>
      <c r="I94">
        <v>27.44</v>
      </c>
      <c r="J94">
        <v>26.71</v>
      </c>
      <c r="K94">
        <v>26.713000000000001</v>
      </c>
      <c r="L94" t="s">
        <v>621</v>
      </c>
    </row>
    <row r="95" spans="1:12" x14ac:dyDescent="0.25">
      <c r="A95" t="s">
        <v>582</v>
      </c>
      <c r="B95">
        <v>2637.56</v>
      </c>
      <c r="C95">
        <v>2651.02</v>
      </c>
      <c r="D95">
        <v>2663.26</v>
      </c>
      <c r="E95">
        <v>2673.55</v>
      </c>
      <c r="F95">
        <v>2682.68</v>
      </c>
      <c r="G95">
        <v>2693.04</v>
      </c>
      <c r="H95">
        <v>2705.48</v>
      </c>
      <c r="I95">
        <v>2719.29</v>
      </c>
      <c r="J95">
        <v>2611.9</v>
      </c>
      <c r="K95">
        <v>2611.9</v>
      </c>
      <c r="L95" t="s">
        <v>621</v>
      </c>
    </row>
    <row r="96" spans="1:12" x14ac:dyDescent="0.25">
      <c r="A96" t="s">
        <v>583</v>
      </c>
      <c r="B96">
        <v>1750.46</v>
      </c>
      <c r="C96">
        <v>1760.34</v>
      </c>
      <c r="D96">
        <v>1769.22</v>
      </c>
      <c r="E96">
        <v>1776.41</v>
      </c>
      <c r="F96">
        <v>1782.55</v>
      </c>
      <c r="G96">
        <v>1789.8</v>
      </c>
      <c r="H96">
        <v>1798.83</v>
      </c>
      <c r="I96">
        <v>1808.98</v>
      </c>
      <c r="J96">
        <v>1767.19</v>
      </c>
      <c r="K96">
        <v>1767.19</v>
      </c>
      <c r="L96" t="s">
        <v>621</v>
      </c>
    </row>
    <row r="97" spans="1:12" x14ac:dyDescent="0.25">
      <c r="A97" t="s">
        <v>584</v>
      </c>
      <c r="B97">
        <v>1622.87</v>
      </c>
      <c r="C97">
        <v>1631.59</v>
      </c>
      <c r="D97">
        <v>1639.44</v>
      </c>
      <c r="E97">
        <v>1645.82</v>
      </c>
      <c r="F97">
        <v>1651.28</v>
      </c>
      <c r="G97">
        <v>1657.71</v>
      </c>
      <c r="H97">
        <v>1665.68</v>
      </c>
      <c r="I97">
        <v>1674.64</v>
      </c>
      <c r="J97">
        <v>1643.93</v>
      </c>
      <c r="K97">
        <v>1643.93</v>
      </c>
      <c r="L97" t="s">
        <v>621</v>
      </c>
    </row>
    <row r="98" spans="1:12" x14ac:dyDescent="0.25">
      <c r="A98" t="s">
        <v>585</v>
      </c>
      <c r="B98">
        <v>1485.39</v>
      </c>
      <c r="C98">
        <v>1494.05</v>
      </c>
      <c r="D98">
        <v>1501.84</v>
      </c>
      <c r="E98">
        <v>1508.17</v>
      </c>
      <c r="F98">
        <v>1513.58</v>
      </c>
      <c r="G98">
        <v>1519.95</v>
      </c>
      <c r="H98">
        <v>1527.88</v>
      </c>
      <c r="I98">
        <v>1536.79</v>
      </c>
      <c r="J98">
        <v>1499.47</v>
      </c>
      <c r="K98">
        <v>1499.47</v>
      </c>
      <c r="L98" t="s">
        <v>621</v>
      </c>
    </row>
    <row r="99" spans="1:12" x14ac:dyDescent="0.25">
      <c r="A99" t="s">
        <v>586</v>
      </c>
      <c r="B99">
        <v>201119</v>
      </c>
      <c r="C99">
        <v>202154</v>
      </c>
      <c r="D99">
        <v>203085</v>
      </c>
      <c r="E99">
        <v>203844</v>
      </c>
      <c r="F99">
        <v>204496</v>
      </c>
      <c r="G99">
        <v>205260</v>
      </c>
      <c r="H99">
        <v>206206</v>
      </c>
      <c r="I99">
        <v>207267</v>
      </c>
      <c r="J99">
        <v>202309</v>
      </c>
      <c r="K99">
        <v>202309</v>
      </c>
      <c r="L99" t="s">
        <v>621</v>
      </c>
    </row>
    <row r="100" spans="1:12" x14ac:dyDescent="0.25">
      <c r="A100" t="s">
        <v>587</v>
      </c>
      <c r="B100">
        <v>1922.98</v>
      </c>
      <c r="C100">
        <v>1932.72</v>
      </c>
      <c r="D100">
        <v>1941.57</v>
      </c>
      <c r="E100">
        <v>1949</v>
      </c>
      <c r="F100">
        <v>1955.6</v>
      </c>
      <c r="G100">
        <v>1963.09</v>
      </c>
      <c r="H100">
        <v>1972.08</v>
      </c>
      <c r="I100">
        <v>1982.07</v>
      </c>
      <c r="J100">
        <v>1947.76</v>
      </c>
      <c r="K100">
        <v>1947.76</v>
      </c>
      <c r="L100" t="s">
        <v>621</v>
      </c>
    </row>
    <row r="101" spans="1:12" x14ac:dyDescent="0.25">
      <c r="A101" t="s">
        <v>588</v>
      </c>
      <c r="B101">
        <v>303.75</v>
      </c>
      <c r="C101">
        <v>305.98</v>
      </c>
      <c r="D101">
        <v>308</v>
      </c>
      <c r="E101">
        <v>309.64</v>
      </c>
      <c r="F101">
        <v>311.06</v>
      </c>
      <c r="G101">
        <v>312.72000000000003</v>
      </c>
      <c r="H101">
        <v>314.77999999999997</v>
      </c>
      <c r="I101">
        <v>317.10000000000002</v>
      </c>
      <c r="J101">
        <v>307.39</v>
      </c>
      <c r="K101">
        <v>307.39</v>
      </c>
      <c r="L101" t="s">
        <v>621</v>
      </c>
    </row>
    <row r="102" spans="1:12" x14ac:dyDescent="0.25">
      <c r="A102" t="s">
        <v>589</v>
      </c>
      <c r="B102">
        <v>2305.54</v>
      </c>
      <c r="C102">
        <v>2327.89</v>
      </c>
      <c r="D102">
        <v>2348.1799999999998</v>
      </c>
      <c r="E102">
        <v>2364.8200000000002</v>
      </c>
      <c r="F102">
        <v>2379.1799999999998</v>
      </c>
      <c r="G102">
        <v>2396.04</v>
      </c>
      <c r="H102">
        <v>2416.9299999999998</v>
      </c>
      <c r="I102">
        <v>2440.36</v>
      </c>
      <c r="J102">
        <v>2356.16</v>
      </c>
      <c r="K102">
        <v>2356.16</v>
      </c>
      <c r="L102" t="s">
        <v>621</v>
      </c>
    </row>
    <row r="103" spans="1:12" x14ac:dyDescent="0.25">
      <c r="A103" t="s">
        <v>590</v>
      </c>
      <c r="B103">
        <v>895.05</v>
      </c>
      <c r="C103">
        <v>907.49</v>
      </c>
      <c r="D103">
        <v>918.89</v>
      </c>
      <c r="E103">
        <v>928.30999999999005</v>
      </c>
      <c r="F103">
        <v>936.51</v>
      </c>
      <c r="G103">
        <v>946.11</v>
      </c>
      <c r="H103">
        <v>957.99</v>
      </c>
      <c r="I103">
        <v>4249</v>
      </c>
      <c r="J103">
        <v>4249</v>
      </c>
      <c r="K103" t="s">
        <v>621</v>
      </c>
      <c r="L103" t="s">
        <v>621</v>
      </c>
    </row>
    <row r="104" spans="1:12" x14ac:dyDescent="0.25">
      <c r="A104" t="s">
        <v>591</v>
      </c>
      <c r="B104">
        <v>4198</v>
      </c>
      <c r="C104">
        <v>4241</v>
      </c>
      <c r="D104">
        <v>4276</v>
      </c>
      <c r="E104">
        <v>4306</v>
      </c>
      <c r="F104">
        <v>4342</v>
      </c>
      <c r="G104">
        <v>4386</v>
      </c>
      <c r="H104">
        <v>4435</v>
      </c>
      <c r="I104">
        <v>376.5</v>
      </c>
      <c r="J104">
        <v>376.5</v>
      </c>
      <c r="K104" t="s">
        <v>621</v>
      </c>
    </row>
    <row r="105" spans="1:12" x14ac:dyDescent="0.25">
      <c r="A105" t="s">
        <v>592</v>
      </c>
      <c r="B105">
        <v>372.2</v>
      </c>
      <c r="C105">
        <v>374.88</v>
      </c>
      <c r="D105">
        <v>377.06</v>
      </c>
      <c r="E105">
        <v>378.94</v>
      </c>
      <c r="F105">
        <v>381.15</v>
      </c>
      <c r="G105">
        <v>383.89</v>
      </c>
      <c r="H105">
        <v>386.96</v>
      </c>
      <c r="I105">
        <v>39.76</v>
      </c>
      <c r="J105">
        <v>39.76</v>
      </c>
      <c r="K105" t="s">
        <v>621</v>
      </c>
    </row>
    <row r="106" spans="1:12" x14ac:dyDescent="0.25">
      <c r="A106" t="s">
        <v>593</v>
      </c>
      <c r="B106">
        <v>39.950000000000003</v>
      </c>
      <c r="C106">
        <v>40.36</v>
      </c>
      <c r="D106">
        <v>40.700000000000003</v>
      </c>
      <c r="E106">
        <v>40.99</v>
      </c>
      <c r="F106">
        <v>41.33</v>
      </c>
      <c r="G106">
        <v>41.75</v>
      </c>
      <c r="H106">
        <v>42.23</v>
      </c>
      <c r="I106">
        <v>11476</v>
      </c>
      <c r="J106">
        <v>11476</v>
      </c>
      <c r="K106" t="s">
        <v>621</v>
      </c>
    </row>
    <row r="107" spans="1:12" x14ac:dyDescent="0.25">
      <c r="A107" t="s">
        <v>594</v>
      </c>
      <c r="B107">
        <v>11304</v>
      </c>
      <c r="C107">
        <v>11413</v>
      </c>
      <c r="D107">
        <v>11502</v>
      </c>
      <c r="E107">
        <v>11579</v>
      </c>
      <c r="F107">
        <v>11669</v>
      </c>
      <c r="G107">
        <v>11781</v>
      </c>
      <c r="H107">
        <v>11906</v>
      </c>
      <c r="I107">
        <v>1.77</v>
      </c>
      <c r="J107">
        <v>1.7729999999999999</v>
      </c>
      <c r="K107" t="s">
        <v>621</v>
      </c>
    </row>
    <row r="108" spans="1:12" x14ac:dyDescent="0.25">
      <c r="A108" t="s">
        <v>595</v>
      </c>
      <c r="B108">
        <v>1.9750000000000001</v>
      </c>
      <c r="C108">
        <v>2.0129999999999999</v>
      </c>
      <c r="D108">
        <v>2.0449999999999999</v>
      </c>
      <c r="E108">
        <v>2.0699999999999998</v>
      </c>
      <c r="F108">
        <v>2.11</v>
      </c>
      <c r="G108">
        <v>2.15</v>
      </c>
      <c r="H108">
        <v>2.19</v>
      </c>
      <c r="I108">
        <v>64.34</v>
      </c>
      <c r="J108">
        <v>64.34</v>
      </c>
      <c r="K108" t="s">
        <v>621</v>
      </c>
    </row>
    <row r="109" spans="1:12" x14ac:dyDescent="0.25">
      <c r="A109" t="s">
        <v>596</v>
      </c>
      <c r="B109">
        <v>64.48</v>
      </c>
      <c r="C109">
        <v>64.95</v>
      </c>
      <c r="D109">
        <v>65.34</v>
      </c>
      <c r="E109">
        <v>65.680000000000007</v>
      </c>
      <c r="F109">
        <v>66.069999999999993</v>
      </c>
      <c r="G109">
        <v>66.56</v>
      </c>
      <c r="H109">
        <v>67.099999999999994</v>
      </c>
      <c r="I109">
        <v>1032.5</v>
      </c>
      <c r="J109">
        <v>1032.5</v>
      </c>
      <c r="K109" t="s">
        <v>621</v>
      </c>
    </row>
    <row r="110" spans="1:12" x14ac:dyDescent="0.25">
      <c r="A110" t="s">
        <v>597</v>
      </c>
      <c r="B110">
        <v>1028.82</v>
      </c>
      <c r="C110">
        <v>1035.3699999999999</v>
      </c>
      <c r="D110">
        <v>1040.71</v>
      </c>
      <c r="E110">
        <v>1045.3</v>
      </c>
      <c r="F110">
        <v>1050.69</v>
      </c>
      <c r="G110">
        <v>1057.3800000000001</v>
      </c>
      <c r="H110">
        <v>1064.8900000000001</v>
      </c>
      <c r="I110">
        <v>12.55</v>
      </c>
      <c r="J110">
        <v>12.55</v>
      </c>
      <c r="K110" t="s">
        <v>621</v>
      </c>
    </row>
    <row r="111" spans="1:12" x14ac:dyDescent="0.25">
      <c r="A111" t="s">
        <v>598</v>
      </c>
      <c r="B111">
        <v>12.46</v>
      </c>
      <c r="C111">
        <v>12.59</v>
      </c>
      <c r="D111">
        <v>12.69</v>
      </c>
      <c r="E111">
        <v>12.79</v>
      </c>
      <c r="F111">
        <v>12.89</v>
      </c>
      <c r="G111">
        <v>13.03</v>
      </c>
      <c r="H111">
        <v>13.18</v>
      </c>
      <c r="I111">
        <v>571.83000000000004</v>
      </c>
      <c r="J111">
        <v>571.83000000000004</v>
      </c>
      <c r="K111" t="s">
        <v>621</v>
      </c>
    </row>
    <row r="112" spans="1:12" x14ac:dyDescent="0.25">
      <c r="A112" t="s">
        <v>599</v>
      </c>
      <c r="B112" t="s">
        <v>609</v>
      </c>
      <c r="C112" t="s">
        <v>610</v>
      </c>
      <c r="D112" t="s">
        <v>611</v>
      </c>
      <c r="E112" t="s">
        <v>612</v>
      </c>
      <c r="F112" t="s">
        <v>613</v>
      </c>
      <c r="G112" t="s">
        <v>614</v>
      </c>
      <c r="H112" t="s">
        <v>615</v>
      </c>
      <c r="I112">
        <v>5778</v>
      </c>
    </row>
    <row r="113" spans="1:11" x14ac:dyDescent="0.25">
      <c r="A113" t="s">
        <v>600</v>
      </c>
      <c r="B113">
        <v>5802</v>
      </c>
      <c r="C113">
        <v>5823</v>
      </c>
      <c r="D113">
        <v>5841</v>
      </c>
      <c r="E113">
        <v>5855</v>
      </c>
      <c r="F113">
        <v>5873</v>
      </c>
      <c r="G113">
        <v>5894</v>
      </c>
      <c r="H113">
        <v>5918</v>
      </c>
      <c r="I113">
        <v>4892.3999999999996</v>
      </c>
    </row>
    <row r="114" spans="1:11" x14ac:dyDescent="0.25">
      <c r="A114" t="s">
        <v>601</v>
      </c>
      <c r="B114">
        <v>4919.2</v>
      </c>
      <c r="C114">
        <v>4943.2</v>
      </c>
      <c r="D114">
        <v>4962.7</v>
      </c>
      <c r="E114">
        <v>4979.5</v>
      </c>
      <c r="F114">
        <v>4999.2</v>
      </c>
      <c r="G114">
        <v>5023.6000000000004</v>
      </c>
      <c r="H114">
        <v>5051</v>
      </c>
      <c r="I114">
        <v>15221</v>
      </c>
    </row>
    <row r="115" spans="1:11" x14ac:dyDescent="0.25">
      <c r="A115" t="s">
        <v>602</v>
      </c>
      <c r="B115">
        <v>15345</v>
      </c>
      <c r="C115">
        <v>15457</v>
      </c>
      <c r="D115">
        <v>15549</v>
      </c>
      <c r="E115">
        <v>15627</v>
      </c>
      <c r="F115">
        <v>15720</v>
      </c>
      <c r="G115">
        <v>15835</v>
      </c>
      <c r="H115">
        <v>15964</v>
      </c>
      <c r="I115">
        <v>12932.6</v>
      </c>
    </row>
    <row r="116" spans="1:11" x14ac:dyDescent="0.25">
      <c r="A116" t="s">
        <v>603</v>
      </c>
      <c r="B116">
        <v>13006.7</v>
      </c>
      <c r="C116">
        <v>13073.4</v>
      </c>
      <c r="D116">
        <v>13127.7</v>
      </c>
      <c r="E116">
        <v>13174.3</v>
      </c>
      <c r="F116">
        <v>13229.1</v>
      </c>
      <c r="G116">
        <v>13296.9</v>
      </c>
      <c r="H116">
        <v>13373.1</v>
      </c>
      <c r="I116">
        <v>27331.3</v>
      </c>
    </row>
    <row r="117" spans="1:11" x14ac:dyDescent="0.25">
      <c r="A117" t="s">
        <v>604</v>
      </c>
      <c r="B117">
        <v>27464.799999999999</v>
      </c>
      <c r="C117">
        <v>27584.9</v>
      </c>
      <c r="D117">
        <v>27682.3</v>
      </c>
      <c r="E117">
        <v>27765.8</v>
      </c>
      <c r="F117">
        <v>27863.8</v>
      </c>
      <c r="G117">
        <v>27985.599999999999</v>
      </c>
      <c r="H117">
        <v>28122.3</v>
      </c>
      <c r="I117">
        <v>3232</v>
      </c>
    </row>
    <row r="118" spans="1:11" x14ac:dyDescent="0.25">
      <c r="A118" t="s">
        <v>605</v>
      </c>
      <c r="B118">
        <v>3250</v>
      </c>
      <c r="C118">
        <v>3266</v>
      </c>
      <c r="D118">
        <v>3279</v>
      </c>
      <c r="E118">
        <v>3291</v>
      </c>
      <c r="F118">
        <v>3304</v>
      </c>
      <c r="G118">
        <v>3320</v>
      </c>
      <c r="H118">
        <v>3339</v>
      </c>
      <c r="I118">
        <v>5928.5</v>
      </c>
    </row>
    <row r="119" spans="1:11" x14ac:dyDescent="0.25">
      <c r="A119" t="s">
        <v>606</v>
      </c>
      <c r="B119">
        <v>5955.9</v>
      </c>
      <c r="C119">
        <v>5980.5</v>
      </c>
      <c r="D119">
        <v>6000.5</v>
      </c>
      <c r="E119">
        <v>6017.7</v>
      </c>
      <c r="F119">
        <v>6037.8</v>
      </c>
      <c r="G119">
        <v>6062.8</v>
      </c>
      <c r="H119">
        <v>6090.8</v>
      </c>
      <c r="I119">
        <v>23910</v>
      </c>
    </row>
    <row r="120" spans="1:11" x14ac:dyDescent="0.25">
      <c r="A120" t="s">
        <v>607</v>
      </c>
      <c r="B120">
        <v>24071</v>
      </c>
      <c r="C120">
        <v>24216</v>
      </c>
      <c r="D120">
        <v>24334</v>
      </c>
      <c r="E120">
        <v>24436</v>
      </c>
      <c r="F120">
        <v>24555</v>
      </c>
      <c r="G120">
        <v>24703</v>
      </c>
      <c r="H120">
        <v>24869</v>
      </c>
      <c r="I120">
        <v>5769</v>
      </c>
      <c r="J120">
        <v>5769</v>
      </c>
      <c r="K120" t="s">
        <v>621</v>
      </c>
    </row>
    <row r="121" spans="1:11" x14ac:dyDescent="0.25">
      <c r="A121" t="s">
        <v>608</v>
      </c>
      <c r="B121">
        <v>19203</v>
      </c>
      <c r="C121">
        <v>19336</v>
      </c>
      <c r="D121">
        <v>19444</v>
      </c>
      <c r="E121">
        <v>19538</v>
      </c>
      <c r="F121">
        <v>19647</v>
      </c>
      <c r="G121">
        <v>19783</v>
      </c>
      <c r="H121">
        <v>19935</v>
      </c>
      <c r="I121">
        <v>4943.7</v>
      </c>
      <c r="J121">
        <v>4943.7</v>
      </c>
      <c r="K121" t="s">
        <v>621</v>
      </c>
    </row>
    <row r="122" spans="1:11" x14ac:dyDescent="0.25">
      <c r="B122">
        <v>10825.4</v>
      </c>
      <c r="C122">
        <v>10883</v>
      </c>
      <c r="D122">
        <v>10929.8</v>
      </c>
      <c r="E122">
        <v>10970</v>
      </c>
      <c r="F122">
        <v>11017.2</v>
      </c>
      <c r="G122">
        <v>11075.8</v>
      </c>
      <c r="H122">
        <v>11141.6</v>
      </c>
      <c r="I122">
        <v>15513</v>
      </c>
      <c r="J122">
        <v>15513</v>
      </c>
      <c r="K122" t="s">
        <v>621</v>
      </c>
    </row>
    <row r="123" spans="1:11" x14ac:dyDescent="0.25">
      <c r="B123">
        <v>543.87</v>
      </c>
      <c r="C123">
        <v>546.29</v>
      </c>
      <c r="D123">
        <v>548.26</v>
      </c>
      <c r="E123">
        <v>549.95000000000005</v>
      </c>
      <c r="F123">
        <v>551.92999999999995</v>
      </c>
      <c r="G123">
        <v>554.38</v>
      </c>
      <c r="H123">
        <v>557.14</v>
      </c>
      <c r="I123">
        <v>13038.4</v>
      </c>
      <c r="J123">
        <v>13038.4</v>
      </c>
      <c r="K123" t="s">
        <v>621</v>
      </c>
    </row>
    <row r="124" spans="1:11" x14ac:dyDescent="0.25">
      <c r="B124">
        <v>22954</v>
      </c>
      <c r="C124">
        <v>23092</v>
      </c>
      <c r="D124">
        <v>23205</v>
      </c>
      <c r="E124">
        <v>23301</v>
      </c>
      <c r="F124">
        <v>23415</v>
      </c>
      <c r="G124">
        <v>23556</v>
      </c>
      <c r="H124">
        <v>23713</v>
      </c>
      <c r="I124">
        <v>27677.5</v>
      </c>
      <c r="J124">
        <v>27677.5</v>
      </c>
      <c r="K124" t="s">
        <v>621</v>
      </c>
    </row>
    <row r="125" spans="1:11" x14ac:dyDescent="0.25">
      <c r="B125">
        <v>283.8</v>
      </c>
      <c r="C125">
        <v>285.10000000000002</v>
      </c>
      <c r="D125">
        <v>286.10000000000002</v>
      </c>
      <c r="E125">
        <v>286.89999999999998</v>
      </c>
      <c r="F125">
        <v>287.89999999999998</v>
      </c>
      <c r="G125">
        <v>289.2</v>
      </c>
      <c r="H125">
        <v>290.60000000000002</v>
      </c>
      <c r="I125">
        <v>3217</v>
      </c>
      <c r="J125">
        <v>3217</v>
      </c>
      <c r="K125" t="s">
        <v>621</v>
      </c>
    </row>
    <row r="126" spans="1:11" x14ac:dyDescent="0.25">
      <c r="B126">
        <v>6823</v>
      </c>
      <c r="C126">
        <v>6861</v>
      </c>
      <c r="D126">
        <v>6892</v>
      </c>
      <c r="E126">
        <v>6920</v>
      </c>
      <c r="F126">
        <v>6951</v>
      </c>
      <c r="G126">
        <v>6990</v>
      </c>
      <c r="H126">
        <v>7034</v>
      </c>
      <c r="I126">
        <v>5880.9</v>
      </c>
      <c r="J126">
        <v>5880.9</v>
      </c>
      <c r="K126" t="s">
        <v>621</v>
      </c>
    </row>
    <row r="127" spans="1:11" x14ac:dyDescent="0.25">
      <c r="B127">
        <v>3297.7</v>
      </c>
      <c r="C127">
        <v>3311.2</v>
      </c>
      <c r="D127">
        <v>3322.2</v>
      </c>
      <c r="E127">
        <v>3331.6</v>
      </c>
      <c r="F127">
        <v>3342.7</v>
      </c>
      <c r="G127">
        <v>3356.4</v>
      </c>
      <c r="H127">
        <v>3371.8</v>
      </c>
      <c r="I127">
        <v>24039</v>
      </c>
      <c r="J127">
        <v>24039</v>
      </c>
      <c r="K127" t="s">
        <v>621</v>
      </c>
    </row>
    <row r="128" spans="1:11" x14ac:dyDescent="0.25">
      <c r="B128">
        <v>10410</v>
      </c>
      <c r="C128">
        <v>10455</v>
      </c>
      <c r="D128">
        <v>10491</v>
      </c>
      <c r="E128">
        <v>10521</v>
      </c>
      <c r="F128">
        <v>10558</v>
      </c>
      <c r="G128">
        <v>10602</v>
      </c>
      <c r="H128">
        <v>10653</v>
      </c>
      <c r="I128">
        <v>19356</v>
      </c>
      <c r="J128">
        <v>19356</v>
      </c>
      <c r="K128" t="s">
        <v>621</v>
      </c>
    </row>
    <row r="129" spans="2:11" x14ac:dyDescent="0.25">
      <c r="B129">
        <v>1524.7</v>
      </c>
      <c r="C129">
        <v>1532.6</v>
      </c>
      <c r="D129">
        <v>1539.1</v>
      </c>
      <c r="E129">
        <v>1544.6</v>
      </c>
      <c r="F129">
        <v>1551</v>
      </c>
      <c r="G129">
        <v>1559</v>
      </c>
      <c r="H129">
        <v>1568.1</v>
      </c>
      <c r="I129">
        <v>10885</v>
      </c>
      <c r="J129">
        <v>10885</v>
      </c>
      <c r="K129" t="s">
        <v>621</v>
      </c>
    </row>
    <row r="130" spans="2:11" x14ac:dyDescent="0.25">
      <c r="I130">
        <v>542.19000000000005</v>
      </c>
      <c r="J130">
        <v>542.19000000000005</v>
      </c>
      <c r="K130" t="s">
        <v>621</v>
      </c>
    </row>
    <row r="131" spans="2:11" x14ac:dyDescent="0.25">
      <c r="I131">
        <v>23083</v>
      </c>
      <c r="J131">
        <v>23083</v>
      </c>
      <c r="K131" t="s">
        <v>621</v>
      </c>
    </row>
    <row r="132" spans="2:11" x14ac:dyDescent="0.25">
      <c r="I132">
        <v>285.60000000000002</v>
      </c>
      <c r="J132">
        <v>285.60000000000002</v>
      </c>
      <c r="K132" t="s">
        <v>621</v>
      </c>
    </row>
    <row r="133" spans="2:11" x14ac:dyDescent="0.25">
      <c r="I133">
        <v>6839</v>
      </c>
      <c r="J133">
        <v>6839</v>
      </c>
      <c r="K133" t="s">
        <v>621</v>
      </c>
    </row>
    <row r="134" spans="2:11" x14ac:dyDescent="0.25">
      <c r="I134">
        <v>3283</v>
      </c>
      <c r="J134">
        <v>3283</v>
      </c>
      <c r="K134" t="s">
        <v>621</v>
      </c>
    </row>
    <row r="135" spans="2:11" x14ac:dyDescent="0.25">
      <c r="I135">
        <v>10438</v>
      </c>
      <c r="J135">
        <v>10438</v>
      </c>
      <c r="K135" t="s">
        <v>621</v>
      </c>
    </row>
    <row r="136" spans="2:11" x14ac:dyDescent="0.25">
      <c r="I136">
        <v>1527.5</v>
      </c>
      <c r="J136">
        <v>1527.5</v>
      </c>
      <c r="K136" t="s">
        <v>621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B55"/>
  <sheetViews>
    <sheetView workbookViewId="0">
      <selection activeCell="I63" sqref="I63"/>
    </sheetView>
  </sheetViews>
  <sheetFormatPr defaultRowHeight="15" x14ac:dyDescent="0.25"/>
  <sheetData>
    <row r="2" spans="2:2" x14ac:dyDescent="0.25">
      <c r="B2" s="1"/>
    </row>
    <row r="3" spans="2:2" x14ac:dyDescent="0.25">
      <c r="B3" s="1"/>
    </row>
    <row r="4" spans="2:2" x14ac:dyDescent="0.25">
      <c r="B4" s="1"/>
    </row>
    <row r="5" spans="2:2" x14ac:dyDescent="0.25">
      <c r="B5" s="1"/>
    </row>
    <row r="6" spans="2:2" x14ac:dyDescent="0.25">
      <c r="B6" s="1"/>
    </row>
    <row r="7" spans="2:2" x14ac:dyDescent="0.25">
      <c r="B7" s="1"/>
    </row>
    <row r="8" spans="2:2" x14ac:dyDescent="0.25">
      <c r="B8" s="1"/>
    </row>
    <row r="9" spans="2:2" x14ac:dyDescent="0.25">
      <c r="B9" s="1"/>
    </row>
    <row r="10" spans="2:2" x14ac:dyDescent="0.25">
      <c r="B10" s="1"/>
    </row>
    <row r="11" spans="2:2" x14ac:dyDescent="0.25">
      <c r="B11" s="1"/>
    </row>
    <row r="12" spans="2:2" x14ac:dyDescent="0.25">
      <c r="B12" s="1"/>
    </row>
    <row r="13" spans="2:2" x14ac:dyDescent="0.25">
      <c r="B13" s="1"/>
    </row>
    <row r="14" spans="2:2" x14ac:dyDescent="0.25">
      <c r="B14" s="1"/>
    </row>
    <row r="15" spans="2:2" x14ac:dyDescent="0.25">
      <c r="B15" s="1"/>
    </row>
    <row r="16" spans="2:2" x14ac:dyDescent="0.25">
      <c r="B16" s="1"/>
    </row>
    <row r="17" spans="2:2" x14ac:dyDescent="0.25">
      <c r="B17" s="1"/>
    </row>
    <row r="18" spans="2:2" x14ac:dyDescent="0.25">
      <c r="B18" s="1"/>
    </row>
    <row r="19" spans="2:2" x14ac:dyDescent="0.25">
      <c r="B19" s="1"/>
    </row>
    <row r="20" spans="2:2" x14ac:dyDescent="0.25">
      <c r="B20" s="1"/>
    </row>
    <row r="21" spans="2:2" x14ac:dyDescent="0.25">
      <c r="B21" s="1"/>
    </row>
    <row r="22" spans="2:2" x14ac:dyDescent="0.25">
      <c r="B22" s="1"/>
    </row>
    <row r="23" spans="2:2" x14ac:dyDescent="0.25">
      <c r="B23" s="1"/>
    </row>
    <row r="24" spans="2:2" x14ac:dyDescent="0.25">
      <c r="B24" s="1"/>
    </row>
    <row r="25" spans="2:2" x14ac:dyDescent="0.25">
      <c r="B25" s="1"/>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row r="40" spans="2:2" x14ac:dyDescent="0.25">
      <c r="B40" s="1"/>
    </row>
    <row r="41" spans="2:2" x14ac:dyDescent="0.25">
      <c r="B41" s="1"/>
    </row>
    <row r="42" spans="2:2" x14ac:dyDescent="0.25">
      <c r="B42" s="1"/>
    </row>
    <row r="43" spans="2:2" x14ac:dyDescent="0.25">
      <c r="B43" s="1"/>
    </row>
    <row r="44" spans="2:2" x14ac:dyDescent="0.25">
      <c r="B44" s="1"/>
    </row>
    <row r="45" spans="2:2" x14ac:dyDescent="0.25">
      <c r="B45" s="1"/>
    </row>
    <row r="46" spans="2:2" x14ac:dyDescent="0.25">
      <c r="B46" s="1"/>
    </row>
    <row r="47" spans="2:2" x14ac:dyDescent="0.25">
      <c r="B47" s="1"/>
    </row>
    <row r="48" spans="2:2" x14ac:dyDescent="0.25">
      <c r="B48" s="1"/>
    </row>
    <row r="49" spans="2:2" x14ac:dyDescent="0.25">
      <c r="B49" s="1"/>
    </row>
    <row r="50" spans="2:2" x14ac:dyDescent="0.25">
      <c r="B50" s="1"/>
    </row>
    <row r="51" spans="2:2" x14ac:dyDescent="0.25">
      <c r="B51" s="1"/>
    </row>
    <row r="52" spans="2:2" x14ac:dyDescent="0.25">
      <c r="B52" s="1"/>
    </row>
    <row r="53" spans="2:2" x14ac:dyDescent="0.25">
      <c r="B53" s="1"/>
    </row>
    <row r="54" spans="2:2" x14ac:dyDescent="0.25">
      <c r="B54" s="1"/>
    </row>
    <row r="55" spans="2:2" x14ac:dyDescent="0.25">
      <c r="B55"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221"/>
  <sheetViews>
    <sheetView workbookViewId="0">
      <selection activeCell="F12" sqref="F12"/>
    </sheetView>
  </sheetViews>
  <sheetFormatPr defaultRowHeight="15" x14ac:dyDescent="0.25"/>
  <cols>
    <col min="1" max="1" width="15.85546875" bestFit="1" customWidth="1"/>
  </cols>
  <sheetData>
    <row r="1" spans="1:1" x14ac:dyDescent="0.25">
      <c r="A1" t="s">
        <v>22</v>
      </c>
    </row>
    <row r="2" spans="1:1" x14ac:dyDescent="0.25">
      <c r="A2" t="s">
        <v>23</v>
      </c>
    </row>
    <row r="4" spans="1:1" x14ac:dyDescent="0.25">
      <c r="A4" t="s">
        <v>24</v>
      </c>
    </row>
    <row r="5" spans="1:1" x14ac:dyDescent="0.25">
      <c r="A5" t="s">
        <v>25</v>
      </c>
    </row>
    <row r="6" spans="1:1" x14ac:dyDescent="0.25">
      <c r="A6" t="s">
        <v>26</v>
      </c>
    </row>
    <row r="7" spans="1:1" x14ac:dyDescent="0.25">
      <c r="A7" t="s">
        <v>27</v>
      </c>
    </row>
    <row r="8" spans="1:1" x14ac:dyDescent="0.25">
      <c r="A8" t="s">
        <v>28</v>
      </c>
    </row>
    <row r="9" spans="1:1" x14ac:dyDescent="0.25">
      <c r="A9" t="s">
        <v>29</v>
      </c>
    </row>
    <row r="10" spans="1:1" x14ac:dyDescent="0.25">
      <c r="A10" t="s">
        <v>30</v>
      </c>
    </row>
    <row r="11" spans="1:1" x14ac:dyDescent="0.25">
      <c r="A11" t="s">
        <v>30</v>
      </c>
    </row>
    <row r="12" spans="1:1" x14ac:dyDescent="0.25">
      <c r="A12" t="s">
        <v>31</v>
      </c>
    </row>
    <row r="14" spans="1:1" x14ac:dyDescent="0.25">
      <c r="A14" t="s">
        <v>32</v>
      </c>
    </row>
    <row r="15" spans="1:1" x14ac:dyDescent="0.25">
      <c r="A15" t="s">
        <v>33</v>
      </c>
    </row>
    <row r="16" spans="1:1" x14ac:dyDescent="0.25">
      <c r="A16" t="s">
        <v>34</v>
      </c>
    </row>
    <row r="17" spans="1:1" x14ac:dyDescent="0.25">
      <c r="A17" t="s">
        <v>35</v>
      </c>
    </row>
    <row r="18" spans="1:1" x14ac:dyDescent="0.25">
      <c r="A18" t="s">
        <v>36</v>
      </c>
    </row>
    <row r="19" spans="1:1" x14ac:dyDescent="0.25">
      <c r="A19" t="s">
        <v>37</v>
      </c>
    </row>
    <row r="20" spans="1:1" x14ac:dyDescent="0.25">
      <c r="A20" t="s">
        <v>38</v>
      </c>
    </row>
    <row r="21" spans="1:1" x14ac:dyDescent="0.25">
      <c r="A21" t="s">
        <v>39</v>
      </c>
    </row>
    <row r="22" spans="1:1" x14ac:dyDescent="0.25">
      <c r="A22" t="s">
        <v>40</v>
      </c>
    </row>
    <row r="23" spans="1:1" x14ac:dyDescent="0.25">
      <c r="A23" t="s">
        <v>41</v>
      </c>
    </row>
    <row r="24" spans="1:1" x14ac:dyDescent="0.25">
      <c r="A24" t="s">
        <v>42</v>
      </c>
    </row>
    <row r="25" spans="1:1" x14ac:dyDescent="0.25">
      <c r="A25" t="s">
        <v>43</v>
      </c>
    </row>
    <row r="27" spans="1:1" x14ac:dyDescent="0.25">
      <c r="A27" t="s">
        <v>44</v>
      </c>
    </row>
    <row r="28" spans="1:1" x14ac:dyDescent="0.25">
      <c r="A28" t="s">
        <v>45</v>
      </c>
    </row>
    <row r="29" spans="1:1" x14ac:dyDescent="0.25">
      <c r="A29" t="s">
        <v>46</v>
      </c>
    </row>
    <row r="30" spans="1:1" x14ac:dyDescent="0.25">
      <c r="A30" t="s">
        <v>47</v>
      </c>
    </row>
    <row r="31" spans="1:1" x14ac:dyDescent="0.25">
      <c r="A31" t="s">
        <v>48</v>
      </c>
    </row>
    <row r="32" spans="1:1" x14ac:dyDescent="0.25">
      <c r="A32" t="s">
        <v>49</v>
      </c>
    </row>
    <row r="33" spans="1:1" x14ac:dyDescent="0.25">
      <c r="A33" t="s">
        <v>50</v>
      </c>
    </row>
    <row r="34" spans="1:1" x14ac:dyDescent="0.25">
      <c r="A34" t="s">
        <v>51</v>
      </c>
    </row>
    <row r="35" spans="1:1" x14ac:dyDescent="0.25">
      <c r="A35" t="s">
        <v>52</v>
      </c>
    </row>
    <row r="36" spans="1:1" x14ac:dyDescent="0.25">
      <c r="A36" t="s">
        <v>53</v>
      </c>
    </row>
    <row r="37" spans="1:1" x14ac:dyDescent="0.25">
      <c r="A37" t="s">
        <v>54</v>
      </c>
    </row>
    <row r="38" spans="1:1" x14ac:dyDescent="0.25">
      <c r="A38" t="s">
        <v>55</v>
      </c>
    </row>
    <row r="39" spans="1:1" x14ac:dyDescent="0.25">
      <c r="A39" t="s">
        <v>56</v>
      </c>
    </row>
    <row r="41" spans="1:1" x14ac:dyDescent="0.25">
      <c r="A41" t="s">
        <v>57</v>
      </c>
    </row>
    <row r="42" spans="1:1" x14ac:dyDescent="0.25">
      <c r="A42" t="s">
        <v>58</v>
      </c>
    </row>
    <row r="43" spans="1:1" x14ac:dyDescent="0.25">
      <c r="A43" t="s">
        <v>59</v>
      </c>
    </row>
    <row r="44" spans="1:1" x14ac:dyDescent="0.25">
      <c r="A44" t="s">
        <v>60</v>
      </c>
    </row>
    <row r="45" spans="1:1" x14ac:dyDescent="0.25">
      <c r="A45" t="s">
        <v>61</v>
      </c>
    </row>
    <row r="46" spans="1:1" x14ac:dyDescent="0.25">
      <c r="A46" t="s">
        <v>62</v>
      </c>
    </row>
    <row r="47" spans="1:1" x14ac:dyDescent="0.25">
      <c r="A47" t="s">
        <v>63</v>
      </c>
    </row>
    <row r="48" spans="1:1" x14ac:dyDescent="0.25">
      <c r="A48" t="s">
        <v>64</v>
      </c>
    </row>
    <row r="50" spans="1:1" x14ac:dyDescent="0.25">
      <c r="A50" t="s">
        <v>65</v>
      </c>
    </row>
    <row r="51" spans="1:1" x14ac:dyDescent="0.25">
      <c r="A51" t="s">
        <v>66</v>
      </c>
    </row>
    <row r="52" spans="1:1" x14ac:dyDescent="0.25">
      <c r="A52" t="s">
        <v>67</v>
      </c>
    </row>
    <row r="53" spans="1:1" x14ac:dyDescent="0.25">
      <c r="A53" s="3">
        <v>0.58333333333333337</v>
      </c>
    </row>
    <row r="54" spans="1:1" x14ac:dyDescent="0.25">
      <c r="A54" t="s">
        <v>68</v>
      </c>
    </row>
    <row r="55" spans="1:1" x14ac:dyDescent="0.25">
      <c r="A55" t="s">
        <v>69</v>
      </c>
    </row>
    <row r="56" spans="1:1" x14ac:dyDescent="0.25">
      <c r="A56" t="s">
        <v>70</v>
      </c>
    </row>
    <row r="57" spans="1:1" x14ac:dyDescent="0.25">
      <c r="A57" s="3">
        <v>0.58333333333333337</v>
      </c>
    </row>
    <row r="58" spans="1:1" x14ac:dyDescent="0.25">
      <c r="A58" t="s">
        <v>68</v>
      </c>
    </row>
    <row r="59" spans="1:1" x14ac:dyDescent="0.25">
      <c r="A59" t="s">
        <v>71</v>
      </c>
    </row>
    <row r="60" spans="1:1" x14ac:dyDescent="0.25">
      <c r="A60" t="s">
        <v>72</v>
      </c>
    </row>
    <row r="61" spans="1:1" x14ac:dyDescent="0.25">
      <c r="A61" s="3">
        <v>0.70833333333333337</v>
      </c>
    </row>
    <row r="62" spans="1:1" x14ac:dyDescent="0.25">
      <c r="A62" t="s">
        <v>68</v>
      </c>
    </row>
    <row r="63" spans="1:1" x14ac:dyDescent="0.25">
      <c r="A63" t="s">
        <v>73</v>
      </c>
    </row>
    <row r="64" spans="1:1" x14ac:dyDescent="0.25">
      <c r="A64" t="s">
        <v>74</v>
      </c>
    </row>
    <row r="65" spans="1:1" x14ac:dyDescent="0.25">
      <c r="A65" t="s">
        <v>75</v>
      </c>
    </row>
    <row r="67" spans="1:1" x14ac:dyDescent="0.25">
      <c r="A67" t="s">
        <v>76</v>
      </c>
    </row>
    <row r="68" spans="1:1" x14ac:dyDescent="0.25">
      <c r="A68" t="s">
        <v>77</v>
      </c>
    </row>
    <row r="69" spans="1:1" x14ac:dyDescent="0.25">
      <c r="A69" t="s">
        <v>78</v>
      </c>
    </row>
    <row r="70" spans="1:1" x14ac:dyDescent="0.25">
      <c r="A70" t="s">
        <v>79</v>
      </c>
    </row>
    <row r="71" spans="1:1" x14ac:dyDescent="0.25">
      <c r="A71" t="s">
        <v>80</v>
      </c>
    </row>
    <row r="72" spans="1:1" x14ac:dyDescent="0.25">
      <c r="A72" t="s">
        <v>30</v>
      </c>
    </row>
    <row r="73" spans="1:1" x14ac:dyDescent="0.25">
      <c r="A73" t="s">
        <v>81</v>
      </c>
    </row>
    <row r="74" spans="1:1" x14ac:dyDescent="0.25">
      <c r="A74" t="s">
        <v>82</v>
      </c>
    </row>
    <row r="75" spans="1:1" x14ac:dyDescent="0.25">
      <c r="A75" t="s">
        <v>83</v>
      </c>
    </row>
    <row r="76" spans="1:1" x14ac:dyDescent="0.25">
      <c r="A76" t="s">
        <v>84</v>
      </c>
    </row>
    <row r="77" spans="1:1" x14ac:dyDescent="0.25">
      <c r="A77" t="s">
        <v>85</v>
      </c>
    </row>
    <row r="78" spans="1:1" x14ac:dyDescent="0.25">
      <c r="A78" t="s">
        <v>86</v>
      </c>
    </row>
    <row r="79" spans="1:1" x14ac:dyDescent="0.25">
      <c r="A79" t="s">
        <v>87</v>
      </c>
    </row>
    <row r="80" spans="1:1" x14ac:dyDescent="0.25">
      <c r="A80" t="s">
        <v>88</v>
      </c>
    </row>
    <row r="81" spans="1:1" x14ac:dyDescent="0.25">
      <c r="A81" t="s">
        <v>89</v>
      </c>
    </row>
    <row r="82" spans="1:1" x14ac:dyDescent="0.25">
      <c r="A82" t="s">
        <v>90</v>
      </c>
    </row>
    <row r="83" spans="1:1" x14ac:dyDescent="0.25">
      <c r="A83" t="s">
        <v>30</v>
      </c>
    </row>
    <row r="84" spans="1:1" x14ac:dyDescent="0.25">
      <c r="A84" t="s">
        <v>91</v>
      </c>
    </row>
    <row r="86" spans="1:1" x14ac:dyDescent="0.25">
      <c r="A86" t="s">
        <v>92</v>
      </c>
    </row>
    <row r="87" spans="1:1" x14ac:dyDescent="0.25">
      <c r="A87" t="s">
        <v>93</v>
      </c>
    </row>
    <row r="88" spans="1:1" x14ac:dyDescent="0.25">
      <c r="A88" t="s">
        <v>94</v>
      </c>
    </row>
    <row r="89" spans="1:1" x14ac:dyDescent="0.25">
      <c r="A89" t="s">
        <v>95</v>
      </c>
    </row>
    <row r="90" spans="1:1" x14ac:dyDescent="0.25">
      <c r="A90" t="s">
        <v>96</v>
      </c>
    </row>
    <row r="92" spans="1:1" x14ac:dyDescent="0.25">
      <c r="A92" t="s">
        <v>97</v>
      </c>
    </row>
    <row r="93" spans="1:1" x14ac:dyDescent="0.25">
      <c r="A93" t="s">
        <v>98</v>
      </c>
    </row>
    <row r="94" spans="1:1" x14ac:dyDescent="0.25">
      <c r="A94" t="s">
        <v>99</v>
      </c>
    </row>
    <row r="95" spans="1:1" x14ac:dyDescent="0.25">
      <c r="A95" t="s">
        <v>100</v>
      </c>
    </row>
    <row r="96" spans="1:1" x14ac:dyDescent="0.25">
      <c r="A96" t="s">
        <v>101</v>
      </c>
    </row>
    <row r="97" spans="1:1" x14ac:dyDescent="0.25">
      <c r="A97" t="s">
        <v>102</v>
      </c>
    </row>
    <row r="99" spans="1:1" x14ac:dyDescent="0.25">
      <c r="A99" t="s">
        <v>103</v>
      </c>
    </row>
    <row r="100" spans="1:1" x14ac:dyDescent="0.25">
      <c r="A100" t="s">
        <v>104</v>
      </c>
    </row>
    <row r="101" spans="1:1" x14ac:dyDescent="0.25">
      <c r="A101" t="s">
        <v>105</v>
      </c>
    </row>
    <row r="102" spans="1:1" x14ac:dyDescent="0.25">
      <c r="A102" t="s">
        <v>106</v>
      </c>
    </row>
    <row r="103" spans="1:1" x14ac:dyDescent="0.25">
      <c r="A103" t="s">
        <v>107</v>
      </c>
    </row>
    <row r="104" spans="1:1" x14ac:dyDescent="0.25">
      <c r="A104" t="s">
        <v>108</v>
      </c>
    </row>
    <row r="105" spans="1:1" x14ac:dyDescent="0.25">
      <c r="A105" t="s">
        <v>109</v>
      </c>
    </row>
    <row r="106" spans="1:1" x14ac:dyDescent="0.25">
      <c r="A106" t="s">
        <v>110</v>
      </c>
    </row>
    <row r="107" spans="1:1" x14ac:dyDescent="0.25">
      <c r="A107" t="s">
        <v>111</v>
      </c>
    </row>
    <row r="108" spans="1:1" x14ac:dyDescent="0.25">
      <c r="A108" t="s">
        <v>112</v>
      </c>
    </row>
    <row r="109" spans="1:1" x14ac:dyDescent="0.25">
      <c r="A109" t="s">
        <v>113</v>
      </c>
    </row>
    <row r="111" spans="1:1" x14ac:dyDescent="0.25">
      <c r="A111" t="s">
        <v>114</v>
      </c>
    </row>
    <row r="113" spans="1:1" x14ac:dyDescent="0.25">
      <c r="A113" t="s">
        <v>115</v>
      </c>
    </row>
    <row r="114" spans="1:1" x14ac:dyDescent="0.25">
      <c r="A114" t="s">
        <v>116</v>
      </c>
    </row>
    <row r="115" spans="1:1" x14ac:dyDescent="0.25">
      <c r="A115" t="s">
        <v>117</v>
      </c>
    </row>
    <row r="116" spans="1:1" x14ac:dyDescent="0.25">
      <c r="A116" t="s">
        <v>118</v>
      </c>
    </row>
    <row r="117" spans="1:1" x14ac:dyDescent="0.25">
      <c r="A117" t="s">
        <v>119</v>
      </c>
    </row>
    <row r="118" spans="1:1" x14ac:dyDescent="0.25">
      <c r="A118" t="s">
        <v>120</v>
      </c>
    </row>
    <row r="120" spans="1:1" x14ac:dyDescent="0.25">
      <c r="A120" t="s">
        <v>121</v>
      </c>
    </row>
    <row r="122" spans="1:1" x14ac:dyDescent="0.25">
      <c r="A122" t="s">
        <v>122</v>
      </c>
    </row>
    <row r="124" spans="1:1" x14ac:dyDescent="0.25">
      <c r="A124" t="s">
        <v>123</v>
      </c>
    </row>
    <row r="126" spans="1:1" x14ac:dyDescent="0.25">
      <c r="A126" t="s">
        <v>124</v>
      </c>
    </row>
    <row r="127" spans="1:1" x14ac:dyDescent="0.25">
      <c r="A127" t="s">
        <v>120</v>
      </c>
    </row>
    <row r="129" spans="1:1" x14ac:dyDescent="0.25">
      <c r="A129" t="s">
        <v>125</v>
      </c>
    </row>
    <row r="131" spans="1:1" x14ac:dyDescent="0.25">
      <c r="A131" t="s">
        <v>126</v>
      </c>
    </row>
    <row r="132" spans="1:1" x14ac:dyDescent="0.25">
      <c r="A132" t="s">
        <v>127</v>
      </c>
    </row>
    <row r="133" spans="1:1" x14ac:dyDescent="0.25">
      <c r="A133" t="s">
        <v>128</v>
      </c>
    </row>
    <row r="134" spans="1:1" x14ac:dyDescent="0.25">
      <c r="A134" t="s">
        <v>129</v>
      </c>
    </row>
    <row r="135" spans="1:1" x14ac:dyDescent="0.25">
      <c r="A135" t="s">
        <v>130</v>
      </c>
    </row>
    <row r="136" spans="1:1" x14ac:dyDescent="0.25">
      <c r="A136" t="s">
        <v>127</v>
      </c>
    </row>
    <row r="137" spans="1:1" x14ac:dyDescent="0.25">
      <c r="A137" t="s">
        <v>131</v>
      </c>
    </row>
    <row r="138" spans="1:1" x14ac:dyDescent="0.25">
      <c r="A138" t="s">
        <v>129</v>
      </c>
    </row>
    <row r="139" spans="1:1" x14ac:dyDescent="0.25">
      <c r="A139" t="s">
        <v>132</v>
      </c>
    </row>
    <row r="140" spans="1:1" x14ac:dyDescent="0.25">
      <c r="A140" t="s">
        <v>129</v>
      </c>
    </row>
    <row r="141" spans="1:1" x14ac:dyDescent="0.25">
      <c r="A141" t="s">
        <v>133</v>
      </c>
    </row>
    <row r="142" spans="1:1" x14ac:dyDescent="0.25">
      <c r="A142" t="s">
        <v>127</v>
      </c>
    </row>
    <row r="143" spans="1:1" x14ac:dyDescent="0.25">
      <c r="A143" t="s">
        <v>134</v>
      </c>
    </row>
    <row r="144" spans="1:1" x14ac:dyDescent="0.25">
      <c r="A144" t="s">
        <v>135</v>
      </c>
    </row>
    <row r="145" spans="1:1" x14ac:dyDescent="0.25">
      <c r="A145" t="s">
        <v>127</v>
      </c>
    </row>
    <row r="146" spans="1:1" x14ac:dyDescent="0.25">
      <c r="A146" t="s">
        <v>136</v>
      </c>
    </row>
    <row r="147" spans="1:1" x14ac:dyDescent="0.25">
      <c r="A147" t="s">
        <v>137</v>
      </c>
    </row>
    <row r="148" spans="1:1" x14ac:dyDescent="0.25">
      <c r="A148" t="s">
        <v>138</v>
      </c>
    </row>
    <row r="149" spans="1:1" x14ac:dyDescent="0.25">
      <c r="A149" t="s">
        <v>139</v>
      </c>
    </row>
    <row r="150" spans="1:1" x14ac:dyDescent="0.25">
      <c r="A150" t="s">
        <v>140</v>
      </c>
    </row>
    <row r="151" spans="1:1" x14ac:dyDescent="0.25">
      <c r="A151" t="s">
        <v>141</v>
      </c>
    </row>
    <row r="152" spans="1:1" x14ac:dyDescent="0.25">
      <c r="A152" t="s">
        <v>142</v>
      </c>
    </row>
    <row r="153" spans="1:1" x14ac:dyDescent="0.25">
      <c r="A153" t="s">
        <v>127</v>
      </c>
    </row>
    <row r="154" spans="1:1" x14ac:dyDescent="0.25">
      <c r="A154" t="s">
        <v>143</v>
      </c>
    </row>
    <row r="155" spans="1:1" x14ac:dyDescent="0.25">
      <c r="A155" t="s">
        <v>127</v>
      </c>
    </row>
    <row r="156" spans="1:1" x14ac:dyDescent="0.25">
      <c r="A156" t="s">
        <v>144</v>
      </c>
    </row>
    <row r="157" spans="1:1" x14ac:dyDescent="0.25">
      <c r="A157" t="s">
        <v>145</v>
      </c>
    </row>
    <row r="158" spans="1:1" x14ac:dyDescent="0.25">
      <c r="A158" t="s">
        <v>127</v>
      </c>
    </row>
    <row r="159" spans="1:1" x14ac:dyDescent="0.25">
      <c r="A159" t="s">
        <v>146</v>
      </c>
    </row>
    <row r="160" spans="1:1" x14ac:dyDescent="0.25">
      <c r="A160" t="s">
        <v>129</v>
      </c>
    </row>
    <row r="161" spans="1:1" x14ac:dyDescent="0.25">
      <c r="A161" t="s">
        <v>147</v>
      </c>
    </row>
    <row r="162" spans="1:1" x14ac:dyDescent="0.25">
      <c r="A162" t="s">
        <v>148</v>
      </c>
    </row>
    <row r="163" spans="1:1" x14ac:dyDescent="0.25">
      <c r="A163" t="s">
        <v>149</v>
      </c>
    </row>
    <row r="164" spans="1:1" x14ac:dyDescent="0.25">
      <c r="A164" t="s">
        <v>150</v>
      </c>
    </row>
    <row r="165" spans="1:1" x14ac:dyDescent="0.25">
      <c r="A165" t="s">
        <v>151</v>
      </c>
    </row>
    <row r="166" spans="1:1" x14ac:dyDescent="0.25">
      <c r="A166" t="s">
        <v>152</v>
      </c>
    </row>
    <row r="167" spans="1:1" x14ac:dyDescent="0.25">
      <c r="A167" t="s">
        <v>153</v>
      </c>
    </row>
    <row r="168" spans="1:1" x14ac:dyDescent="0.25">
      <c r="A168" t="s">
        <v>154</v>
      </c>
    </row>
    <row r="169" spans="1:1" x14ac:dyDescent="0.25">
      <c r="A169" t="s">
        <v>155</v>
      </c>
    </row>
    <row r="170" spans="1:1" x14ac:dyDescent="0.25">
      <c r="A170" t="s">
        <v>156</v>
      </c>
    </row>
    <row r="171" spans="1:1" x14ac:dyDescent="0.25">
      <c r="A171" t="s">
        <v>157</v>
      </c>
    </row>
    <row r="172" spans="1:1" x14ac:dyDescent="0.25">
      <c r="A172" t="s">
        <v>158</v>
      </c>
    </row>
    <row r="173" spans="1:1" x14ac:dyDescent="0.25">
      <c r="A173" t="s">
        <v>159</v>
      </c>
    </row>
    <row r="174" spans="1:1" x14ac:dyDescent="0.25">
      <c r="A174" t="s">
        <v>160</v>
      </c>
    </row>
    <row r="175" spans="1:1" x14ac:dyDescent="0.25">
      <c r="A175" t="s">
        <v>161</v>
      </c>
    </row>
    <row r="176" spans="1:1" x14ac:dyDescent="0.25">
      <c r="A176" t="s">
        <v>162</v>
      </c>
    </row>
    <row r="177" spans="1:1" x14ac:dyDescent="0.25">
      <c r="A177" t="s">
        <v>163</v>
      </c>
    </row>
    <row r="178" spans="1:1" x14ac:dyDescent="0.25">
      <c r="A178" t="s">
        <v>164</v>
      </c>
    </row>
    <row r="179" spans="1:1" x14ac:dyDescent="0.25">
      <c r="A179" t="s">
        <v>165</v>
      </c>
    </row>
    <row r="180" spans="1:1" x14ac:dyDescent="0.25">
      <c r="A180" t="s">
        <v>17</v>
      </c>
    </row>
    <row r="181" spans="1:1" x14ac:dyDescent="0.25">
      <c r="A181" t="s">
        <v>16</v>
      </c>
    </row>
    <row r="182" spans="1:1" x14ac:dyDescent="0.25">
      <c r="A182" t="s">
        <v>166</v>
      </c>
    </row>
    <row r="184" spans="1:1" x14ac:dyDescent="0.25">
      <c r="A184" t="s">
        <v>115</v>
      </c>
    </row>
    <row r="185" spans="1:1" x14ac:dyDescent="0.25">
      <c r="A185" t="s">
        <v>167</v>
      </c>
    </row>
    <row r="187" spans="1:1" x14ac:dyDescent="0.25">
      <c r="A187" t="s">
        <v>168</v>
      </c>
    </row>
    <row r="188" spans="1:1" x14ac:dyDescent="0.25">
      <c r="A188" t="s">
        <v>169</v>
      </c>
    </row>
    <row r="189" spans="1:1" x14ac:dyDescent="0.25">
      <c r="A189" t="s">
        <v>170</v>
      </c>
    </row>
    <row r="190" spans="1:1" x14ac:dyDescent="0.25">
      <c r="A190" t="s">
        <v>171</v>
      </c>
    </row>
    <row r="191" spans="1:1" x14ac:dyDescent="0.25">
      <c r="A191" t="s">
        <v>172</v>
      </c>
    </row>
    <row r="192" spans="1:1" x14ac:dyDescent="0.25">
      <c r="A192" t="s">
        <v>173</v>
      </c>
    </row>
    <row r="193" spans="1:1" x14ac:dyDescent="0.25">
      <c r="A193" t="s">
        <v>174</v>
      </c>
    </row>
    <row r="194" spans="1:1" x14ac:dyDescent="0.25">
      <c r="A194" t="s">
        <v>175</v>
      </c>
    </row>
    <row r="195" spans="1:1" x14ac:dyDescent="0.25">
      <c r="A195" t="s">
        <v>176</v>
      </c>
    </row>
    <row r="196" spans="1:1" x14ac:dyDescent="0.25">
      <c r="A196" t="s">
        <v>177</v>
      </c>
    </row>
    <row r="197" spans="1:1" x14ac:dyDescent="0.25">
      <c r="A197" t="s">
        <v>178</v>
      </c>
    </row>
    <row r="198" spans="1:1" x14ac:dyDescent="0.25">
      <c r="A198" t="s">
        <v>179</v>
      </c>
    </row>
    <row r="199" spans="1:1" x14ac:dyDescent="0.25">
      <c r="A199" t="s">
        <v>180</v>
      </c>
    </row>
    <row r="200" spans="1:1" x14ac:dyDescent="0.25">
      <c r="A200" t="s">
        <v>181</v>
      </c>
    </row>
    <row r="202" spans="1:1" x14ac:dyDescent="0.25">
      <c r="A202" t="s">
        <v>182</v>
      </c>
    </row>
    <row r="203" spans="1:1" x14ac:dyDescent="0.25">
      <c r="A203" t="s">
        <v>183</v>
      </c>
    </row>
    <row r="204" spans="1:1" x14ac:dyDescent="0.25">
      <c r="A204" t="s">
        <v>184</v>
      </c>
    </row>
    <row r="205" spans="1:1" x14ac:dyDescent="0.25">
      <c r="A205" t="s">
        <v>185</v>
      </c>
    </row>
    <row r="206" spans="1:1" x14ac:dyDescent="0.25">
      <c r="A206" t="s">
        <v>186</v>
      </c>
    </row>
    <row r="207" spans="1:1" x14ac:dyDescent="0.25">
      <c r="A207" t="s">
        <v>17</v>
      </c>
    </row>
    <row r="208" spans="1:1" x14ac:dyDescent="0.25">
      <c r="A208" t="s">
        <v>16</v>
      </c>
    </row>
    <row r="209" spans="1:1" x14ac:dyDescent="0.25">
      <c r="A209" t="s">
        <v>166</v>
      </c>
    </row>
    <row r="211" spans="1:1" x14ac:dyDescent="0.25">
      <c r="A211" t="s">
        <v>115</v>
      </c>
    </row>
    <row r="212" spans="1:1" x14ac:dyDescent="0.25">
      <c r="A212" t="s">
        <v>187</v>
      </c>
    </row>
    <row r="214" spans="1:1" x14ac:dyDescent="0.25">
      <c r="A214" t="s">
        <v>188</v>
      </c>
    </row>
    <row r="215" spans="1:1" x14ac:dyDescent="0.25">
      <c r="A215" t="s">
        <v>189</v>
      </c>
    </row>
    <row r="216" spans="1:1" x14ac:dyDescent="0.25">
      <c r="A216" t="s">
        <v>190</v>
      </c>
    </row>
    <row r="217" spans="1:1" x14ac:dyDescent="0.25">
      <c r="A217" t="s">
        <v>191</v>
      </c>
    </row>
    <row r="218" spans="1:1" x14ac:dyDescent="0.25">
      <c r="A218" t="s">
        <v>192</v>
      </c>
    </row>
    <row r="219" spans="1:1" x14ac:dyDescent="0.25">
      <c r="A219" t="s">
        <v>193</v>
      </c>
    </row>
    <row r="220" spans="1:1" x14ac:dyDescent="0.25">
      <c r="A220" t="s">
        <v>174</v>
      </c>
    </row>
    <row r="221" spans="1:1" x14ac:dyDescent="0.25">
      <c r="A221" t="s">
        <v>175</v>
      </c>
    </row>
    <row r="222" spans="1:1" x14ac:dyDescent="0.25">
      <c r="A222" t="s">
        <v>176</v>
      </c>
    </row>
    <row r="223" spans="1:1" x14ac:dyDescent="0.25">
      <c r="A223" t="s">
        <v>177</v>
      </c>
    </row>
    <row r="224" spans="1:1" x14ac:dyDescent="0.25">
      <c r="A224" t="s">
        <v>178</v>
      </c>
    </row>
    <row r="225" spans="1:1" x14ac:dyDescent="0.25">
      <c r="A225" t="s">
        <v>179</v>
      </c>
    </row>
    <row r="226" spans="1:1" x14ac:dyDescent="0.25">
      <c r="A226" t="s">
        <v>180</v>
      </c>
    </row>
    <row r="227" spans="1:1" x14ac:dyDescent="0.25">
      <c r="A227" t="s">
        <v>194</v>
      </c>
    </row>
    <row r="229" spans="1:1" x14ac:dyDescent="0.25">
      <c r="A229" t="s">
        <v>184</v>
      </c>
    </row>
    <row r="230" spans="1:1" x14ac:dyDescent="0.25">
      <c r="A230" t="s">
        <v>185</v>
      </c>
    </row>
    <row r="231" spans="1:1" x14ac:dyDescent="0.25">
      <c r="A231" t="s">
        <v>195</v>
      </c>
    </row>
    <row r="232" spans="1:1" x14ac:dyDescent="0.25">
      <c r="A232" t="s">
        <v>196</v>
      </c>
    </row>
    <row r="233" spans="1:1" x14ac:dyDescent="0.25">
      <c r="A233" t="s">
        <v>197</v>
      </c>
    </row>
    <row r="234" spans="1:1" x14ac:dyDescent="0.25">
      <c r="A234" t="s">
        <v>17</v>
      </c>
    </row>
    <row r="235" spans="1:1" x14ac:dyDescent="0.25">
      <c r="A235" t="s">
        <v>16</v>
      </c>
    </row>
    <row r="236" spans="1:1" x14ac:dyDescent="0.25">
      <c r="A236" t="s">
        <v>166</v>
      </c>
    </row>
    <row r="238" spans="1:1" x14ac:dyDescent="0.25">
      <c r="A238" t="s">
        <v>115</v>
      </c>
    </row>
    <row r="239" spans="1:1" x14ac:dyDescent="0.25">
      <c r="A239" t="s">
        <v>198</v>
      </c>
    </row>
    <row r="241" spans="1:1" x14ac:dyDescent="0.25">
      <c r="A241" t="s">
        <v>199</v>
      </c>
    </row>
    <row r="242" spans="1:1" x14ac:dyDescent="0.25">
      <c r="A242" t="s">
        <v>200</v>
      </c>
    </row>
    <row r="243" spans="1:1" x14ac:dyDescent="0.25">
      <c r="A243" t="s">
        <v>201</v>
      </c>
    </row>
    <row r="244" spans="1:1" x14ac:dyDescent="0.25">
      <c r="A244" t="s">
        <v>202</v>
      </c>
    </row>
    <row r="245" spans="1:1" x14ac:dyDescent="0.25">
      <c r="A245" t="s">
        <v>203</v>
      </c>
    </row>
    <row r="246" spans="1:1" x14ac:dyDescent="0.25">
      <c r="A246" t="s">
        <v>204</v>
      </c>
    </row>
    <row r="247" spans="1:1" x14ac:dyDescent="0.25">
      <c r="A247" t="s">
        <v>174</v>
      </c>
    </row>
    <row r="248" spans="1:1" x14ac:dyDescent="0.25">
      <c r="A248" t="s">
        <v>175</v>
      </c>
    </row>
    <row r="249" spans="1:1" x14ac:dyDescent="0.25">
      <c r="A249" t="s">
        <v>176</v>
      </c>
    </row>
    <row r="250" spans="1:1" x14ac:dyDescent="0.25">
      <c r="A250" t="s">
        <v>177</v>
      </c>
    </row>
    <row r="251" spans="1:1" x14ac:dyDescent="0.25">
      <c r="A251" t="s">
        <v>178</v>
      </c>
    </row>
    <row r="252" spans="1:1" x14ac:dyDescent="0.25">
      <c r="A252" t="s">
        <v>179</v>
      </c>
    </row>
    <row r="253" spans="1:1" x14ac:dyDescent="0.25">
      <c r="A253" t="s">
        <v>180</v>
      </c>
    </row>
    <row r="254" spans="1:1" x14ac:dyDescent="0.25">
      <c r="A254" t="s">
        <v>205</v>
      </c>
    </row>
    <row r="256" spans="1:1" x14ac:dyDescent="0.25">
      <c r="A256" t="s">
        <v>206</v>
      </c>
    </row>
    <row r="257" spans="1:1" x14ac:dyDescent="0.25">
      <c r="A257" t="s">
        <v>207</v>
      </c>
    </row>
    <row r="258" spans="1:1" x14ac:dyDescent="0.25">
      <c r="A258" t="s">
        <v>184</v>
      </c>
    </row>
    <row r="259" spans="1:1" x14ac:dyDescent="0.25">
      <c r="A259" t="s">
        <v>185</v>
      </c>
    </row>
    <row r="260" spans="1:1" x14ac:dyDescent="0.25">
      <c r="A260" t="s">
        <v>208</v>
      </c>
    </row>
    <row r="261" spans="1:1" x14ac:dyDescent="0.25">
      <c r="A261" t="s">
        <v>17</v>
      </c>
    </row>
    <row r="262" spans="1:1" x14ac:dyDescent="0.25">
      <c r="A262" t="s">
        <v>16</v>
      </c>
    </row>
    <row r="263" spans="1:1" x14ac:dyDescent="0.25">
      <c r="A263" t="s">
        <v>166</v>
      </c>
    </row>
    <row r="265" spans="1:1" x14ac:dyDescent="0.25">
      <c r="A265" t="s">
        <v>115</v>
      </c>
    </row>
    <row r="266" spans="1:1" x14ac:dyDescent="0.25">
      <c r="A266" t="s">
        <v>209</v>
      </c>
    </row>
    <row r="268" spans="1:1" x14ac:dyDescent="0.25">
      <c r="A268" t="s">
        <v>210</v>
      </c>
    </row>
    <row r="269" spans="1:1" x14ac:dyDescent="0.25">
      <c r="A269" t="s">
        <v>211</v>
      </c>
    </row>
    <row r="270" spans="1:1" x14ac:dyDescent="0.25">
      <c r="A270" t="s">
        <v>212</v>
      </c>
    </row>
    <row r="271" spans="1:1" x14ac:dyDescent="0.25">
      <c r="A271" t="s">
        <v>213</v>
      </c>
    </row>
    <row r="272" spans="1:1" x14ac:dyDescent="0.25">
      <c r="A272" t="s">
        <v>214</v>
      </c>
    </row>
    <row r="273" spans="1:1" x14ac:dyDescent="0.25">
      <c r="A273" t="s">
        <v>215</v>
      </c>
    </row>
    <row r="274" spans="1:1" x14ac:dyDescent="0.25">
      <c r="A274" t="s">
        <v>174</v>
      </c>
    </row>
    <row r="275" spans="1:1" x14ac:dyDescent="0.25">
      <c r="A275" t="s">
        <v>175</v>
      </c>
    </row>
    <row r="276" spans="1:1" x14ac:dyDescent="0.25">
      <c r="A276" t="s">
        <v>176</v>
      </c>
    </row>
    <row r="277" spans="1:1" x14ac:dyDescent="0.25">
      <c r="A277" t="s">
        <v>177</v>
      </c>
    </row>
    <row r="278" spans="1:1" x14ac:dyDescent="0.25">
      <c r="A278" t="s">
        <v>178</v>
      </c>
    </row>
    <row r="279" spans="1:1" x14ac:dyDescent="0.25">
      <c r="A279" t="s">
        <v>179</v>
      </c>
    </row>
    <row r="280" spans="1:1" x14ac:dyDescent="0.25">
      <c r="A280" t="s">
        <v>180</v>
      </c>
    </row>
    <row r="281" spans="1:1" x14ac:dyDescent="0.25">
      <c r="A281" t="s">
        <v>216</v>
      </c>
    </row>
    <row r="283" spans="1:1" x14ac:dyDescent="0.25">
      <c r="A283" t="s">
        <v>217</v>
      </c>
    </row>
    <row r="284" spans="1:1" x14ac:dyDescent="0.25">
      <c r="A284" t="s">
        <v>218</v>
      </c>
    </row>
    <row r="285" spans="1:1" x14ac:dyDescent="0.25">
      <c r="A285" t="s">
        <v>184</v>
      </c>
    </row>
    <row r="286" spans="1:1" x14ac:dyDescent="0.25">
      <c r="A286" t="s">
        <v>185</v>
      </c>
    </row>
    <row r="287" spans="1:1" x14ac:dyDescent="0.25">
      <c r="A287" t="s">
        <v>219</v>
      </c>
    </row>
    <row r="288" spans="1:1" x14ac:dyDescent="0.25">
      <c r="A288" t="s">
        <v>17</v>
      </c>
    </row>
    <row r="289" spans="1:1" x14ac:dyDescent="0.25">
      <c r="A289" t="s">
        <v>16</v>
      </c>
    </row>
    <row r="290" spans="1:1" x14ac:dyDescent="0.25">
      <c r="A290" t="s">
        <v>166</v>
      </c>
    </row>
    <row r="292" spans="1:1" x14ac:dyDescent="0.25">
      <c r="A292" t="s">
        <v>115</v>
      </c>
    </row>
    <row r="293" spans="1:1" x14ac:dyDescent="0.25">
      <c r="A293" t="s">
        <v>220</v>
      </c>
    </row>
    <row r="295" spans="1:1" x14ac:dyDescent="0.25">
      <c r="A295" t="s">
        <v>221</v>
      </c>
    </row>
    <row r="296" spans="1:1" x14ac:dyDescent="0.25">
      <c r="A296" t="s">
        <v>222</v>
      </c>
    </row>
    <row r="297" spans="1:1" x14ac:dyDescent="0.25">
      <c r="A297" t="s">
        <v>223</v>
      </c>
    </row>
    <row r="298" spans="1:1" x14ac:dyDescent="0.25">
      <c r="A298" t="s">
        <v>224</v>
      </c>
    </row>
    <row r="299" spans="1:1" x14ac:dyDescent="0.25">
      <c r="A299" t="s">
        <v>225</v>
      </c>
    </row>
    <row r="300" spans="1:1" x14ac:dyDescent="0.25">
      <c r="A300" t="s">
        <v>226</v>
      </c>
    </row>
    <row r="301" spans="1:1" x14ac:dyDescent="0.25">
      <c r="A301" t="s">
        <v>174</v>
      </c>
    </row>
    <row r="302" spans="1:1" x14ac:dyDescent="0.25">
      <c r="A302" t="s">
        <v>175</v>
      </c>
    </row>
    <row r="303" spans="1:1" x14ac:dyDescent="0.25">
      <c r="A303" t="s">
        <v>176</v>
      </c>
    </row>
    <row r="304" spans="1:1" x14ac:dyDescent="0.25">
      <c r="A304" t="s">
        <v>177</v>
      </c>
    </row>
    <row r="305" spans="1:1" x14ac:dyDescent="0.25">
      <c r="A305" t="s">
        <v>178</v>
      </c>
    </row>
    <row r="306" spans="1:1" x14ac:dyDescent="0.25">
      <c r="A306" t="s">
        <v>179</v>
      </c>
    </row>
    <row r="307" spans="1:1" x14ac:dyDescent="0.25">
      <c r="A307" t="s">
        <v>180</v>
      </c>
    </row>
    <row r="308" spans="1:1" x14ac:dyDescent="0.25">
      <c r="A308" t="s">
        <v>227</v>
      </c>
    </row>
    <row r="310" spans="1:1" x14ac:dyDescent="0.25">
      <c r="A310" t="s">
        <v>184</v>
      </c>
    </row>
    <row r="311" spans="1:1" x14ac:dyDescent="0.25">
      <c r="A311" t="s">
        <v>185</v>
      </c>
    </row>
    <row r="312" spans="1:1" x14ac:dyDescent="0.25">
      <c r="A312" t="s">
        <v>228</v>
      </c>
    </row>
    <row r="313" spans="1:1" x14ac:dyDescent="0.25">
      <c r="A313" t="s">
        <v>229</v>
      </c>
    </row>
    <row r="314" spans="1:1" x14ac:dyDescent="0.25">
      <c r="A314" t="s">
        <v>230</v>
      </c>
    </row>
    <row r="315" spans="1:1" x14ac:dyDescent="0.25">
      <c r="A315" t="s">
        <v>17</v>
      </c>
    </row>
    <row r="316" spans="1:1" x14ac:dyDescent="0.25">
      <c r="A316" t="s">
        <v>16</v>
      </c>
    </row>
    <row r="317" spans="1:1" x14ac:dyDescent="0.25">
      <c r="A317" t="s">
        <v>166</v>
      </c>
    </row>
    <row r="319" spans="1:1" x14ac:dyDescent="0.25">
      <c r="A319" t="s">
        <v>115</v>
      </c>
    </row>
    <row r="320" spans="1:1" x14ac:dyDescent="0.25">
      <c r="A320" t="s">
        <v>231</v>
      </c>
    </row>
    <row r="322" spans="1:1" x14ac:dyDescent="0.25">
      <c r="A322" t="s">
        <v>232</v>
      </c>
    </row>
    <row r="323" spans="1:1" x14ac:dyDescent="0.25">
      <c r="A323" t="s">
        <v>233</v>
      </c>
    </row>
    <row r="324" spans="1:1" x14ac:dyDescent="0.25">
      <c r="A324" t="s">
        <v>234</v>
      </c>
    </row>
    <row r="325" spans="1:1" x14ac:dyDescent="0.25">
      <c r="A325" t="s">
        <v>235</v>
      </c>
    </row>
    <row r="326" spans="1:1" x14ac:dyDescent="0.25">
      <c r="A326" t="s">
        <v>236</v>
      </c>
    </row>
    <row r="327" spans="1:1" x14ac:dyDescent="0.25">
      <c r="A327" t="s">
        <v>237</v>
      </c>
    </row>
    <row r="328" spans="1:1" x14ac:dyDescent="0.25">
      <c r="A328" t="s">
        <v>174</v>
      </c>
    </row>
    <row r="329" spans="1:1" x14ac:dyDescent="0.25">
      <c r="A329" t="s">
        <v>175</v>
      </c>
    </row>
    <row r="330" spans="1:1" x14ac:dyDescent="0.25">
      <c r="A330" t="s">
        <v>176</v>
      </c>
    </row>
    <row r="331" spans="1:1" x14ac:dyDescent="0.25">
      <c r="A331" t="s">
        <v>177</v>
      </c>
    </row>
    <row r="332" spans="1:1" x14ac:dyDescent="0.25">
      <c r="A332" t="s">
        <v>178</v>
      </c>
    </row>
    <row r="333" spans="1:1" x14ac:dyDescent="0.25">
      <c r="A333" t="s">
        <v>179</v>
      </c>
    </row>
    <row r="334" spans="1:1" x14ac:dyDescent="0.25">
      <c r="A334" t="s">
        <v>180</v>
      </c>
    </row>
    <row r="335" spans="1:1" x14ac:dyDescent="0.25">
      <c r="A335" t="s">
        <v>238</v>
      </c>
    </row>
    <row r="337" spans="1:1" x14ac:dyDescent="0.25">
      <c r="A337" t="s">
        <v>239</v>
      </c>
    </row>
    <row r="338" spans="1:1" x14ac:dyDescent="0.25">
      <c r="A338" t="s">
        <v>240</v>
      </c>
    </row>
    <row r="339" spans="1:1" x14ac:dyDescent="0.25">
      <c r="A339" t="s">
        <v>184</v>
      </c>
    </row>
    <row r="340" spans="1:1" x14ac:dyDescent="0.25">
      <c r="A340" t="s">
        <v>185</v>
      </c>
    </row>
    <row r="341" spans="1:1" x14ac:dyDescent="0.25">
      <c r="A341" t="s">
        <v>241</v>
      </c>
    </row>
    <row r="342" spans="1:1" x14ac:dyDescent="0.25">
      <c r="A342" t="s">
        <v>17</v>
      </c>
    </row>
    <row r="343" spans="1:1" x14ac:dyDescent="0.25">
      <c r="A343" t="s">
        <v>16</v>
      </c>
    </row>
    <row r="344" spans="1:1" x14ac:dyDescent="0.25">
      <c r="A344" t="s">
        <v>166</v>
      </c>
    </row>
    <row r="346" spans="1:1" x14ac:dyDescent="0.25">
      <c r="A346" t="s">
        <v>115</v>
      </c>
    </row>
    <row r="347" spans="1:1" x14ac:dyDescent="0.25">
      <c r="A347" t="s">
        <v>180</v>
      </c>
    </row>
    <row r="348" spans="1:1" x14ac:dyDescent="0.25">
      <c r="A348" t="s">
        <v>242</v>
      </c>
    </row>
    <row r="350" spans="1:1" x14ac:dyDescent="0.25">
      <c r="A350" t="s">
        <v>206</v>
      </c>
    </row>
    <row r="351" spans="1:1" x14ac:dyDescent="0.25">
      <c r="A351" t="s">
        <v>207</v>
      </c>
    </row>
    <row r="352" spans="1:1" x14ac:dyDescent="0.25">
      <c r="A352" t="s">
        <v>228</v>
      </c>
    </row>
    <row r="353" spans="1:1" x14ac:dyDescent="0.25">
      <c r="A353" t="s">
        <v>229</v>
      </c>
    </row>
    <row r="354" spans="1:1" x14ac:dyDescent="0.25">
      <c r="A354" t="s">
        <v>243</v>
      </c>
    </row>
    <row r="355" spans="1:1" x14ac:dyDescent="0.25">
      <c r="A355" t="s">
        <v>17</v>
      </c>
    </row>
    <row r="356" spans="1:1" x14ac:dyDescent="0.25">
      <c r="A356" t="s">
        <v>16</v>
      </c>
    </row>
    <row r="357" spans="1:1" x14ac:dyDescent="0.25">
      <c r="A357" t="s">
        <v>166</v>
      </c>
    </row>
    <row r="359" spans="1:1" x14ac:dyDescent="0.25">
      <c r="A359" t="s">
        <v>115</v>
      </c>
    </row>
    <row r="360" spans="1:1" x14ac:dyDescent="0.25">
      <c r="A360" t="s">
        <v>180</v>
      </c>
    </row>
    <row r="361" spans="1:1" x14ac:dyDescent="0.25">
      <c r="A361" t="s">
        <v>244</v>
      </c>
    </row>
    <row r="363" spans="1:1" x14ac:dyDescent="0.25">
      <c r="A363" t="s">
        <v>206</v>
      </c>
    </row>
    <row r="364" spans="1:1" x14ac:dyDescent="0.25">
      <c r="A364" t="s">
        <v>207</v>
      </c>
    </row>
    <row r="365" spans="1:1" x14ac:dyDescent="0.25">
      <c r="A365" t="s">
        <v>195</v>
      </c>
    </row>
    <row r="366" spans="1:1" x14ac:dyDescent="0.25">
      <c r="A366" t="s">
        <v>196</v>
      </c>
    </row>
    <row r="367" spans="1:1" x14ac:dyDescent="0.25">
      <c r="A367" t="s">
        <v>245</v>
      </c>
    </row>
    <row r="368" spans="1:1" x14ac:dyDescent="0.25">
      <c r="A368" t="s">
        <v>17</v>
      </c>
    </row>
    <row r="369" spans="1:1" x14ac:dyDescent="0.25">
      <c r="A369" t="s">
        <v>16</v>
      </c>
    </row>
    <row r="370" spans="1:1" x14ac:dyDescent="0.25">
      <c r="A370" t="s">
        <v>166</v>
      </c>
    </row>
    <row r="372" spans="1:1" x14ac:dyDescent="0.25">
      <c r="A372" t="s">
        <v>115</v>
      </c>
    </row>
    <row r="373" spans="1:1" x14ac:dyDescent="0.25">
      <c r="A373" t="s">
        <v>180</v>
      </c>
    </row>
    <row r="374" spans="1:1" x14ac:dyDescent="0.25">
      <c r="A374" t="s">
        <v>246</v>
      </c>
    </row>
    <row r="376" spans="1:1" x14ac:dyDescent="0.25">
      <c r="A376" t="s">
        <v>228</v>
      </c>
    </row>
    <row r="377" spans="1:1" x14ac:dyDescent="0.25">
      <c r="A377" t="s">
        <v>229</v>
      </c>
    </row>
    <row r="378" spans="1:1" x14ac:dyDescent="0.25">
      <c r="A378" t="s">
        <v>195</v>
      </c>
    </row>
    <row r="379" spans="1:1" x14ac:dyDescent="0.25">
      <c r="A379" t="s">
        <v>196</v>
      </c>
    </row>
    <row r="380" spans="1:1" x14ac:dyDescent="0.25">
      <c r="A380" t="s">
        <v>247</v>
      </c>
    </row>
    <row r="381" spans="1:1" x14ac:dyDescent="0.25">
      <c r="A381" t="s">
        <v>17</v>
      </c>
    </row>
    <row r="382" spans="1:1" x14ac:dyDescent="0.25">
      <c r="A382" t="s">
        <v>16</v>
      </c>
    </row>
    <row r="383" spans="1:1" x14ac:dyDescent="0.25">
      <c r="A383" t="s">
        <v>166</v>
      </c>
    </row>
    <row r="385" spans="1:1" x14ac:dyDescent="0.25">
      <c r="A385" t="s">
        <v>115</v>
      </c>
    </row>
    <row r="386" spans="1:1" x14ac:dyDescent="0.25">
      <c r="A386" t="s">
        <v>180</v>
      </c>
    </row>
    <row r="387" spans="1:1" x14ac:dyDescent="0.25">
      <c r="A387" t="s">
        <v>248</v>
      </c>
    </row>
    <row r="389" spans="1:1" x14ac:dyDescent="0.25">
      <c r="A389" t="s">
        <v>195</v>
      </c>
    </row>
    <row r="390" spans="1:1" x14ac:dyDescent="0.25">
      <c r="A390" t="s">
        <v>196</v>
      </c>
    </row>
    <row r="391" spans="1:1" x14ac:dyDescent="0.25">
      <c r="A391" t="s">
        <v>249</v>
      </c>
    </row>
    <row r="392" spans="1:1" x14ac:dyDescent="0.25">
      <c r="A392" t="s">
        <v>17</v>
      </c>
    </row>
    <row r="393" spans="1:1" x14ac:dyDescent="0.25">
      <c r="A393" t="s">
        <v>16</v>
      </c>
    </row>
    <row r="394" spans="1:1" x14ac:dyDescent="0.25">
      <c r="A394" t="s">
        <v>166</v>
      </c>
    </row>
    <row r="396" spans="1:1" x14ac:dyDescent="0.25">
      <c r="A396" t="s">
        <v>115</v>
      </c>
    </row>
    <row r="397" spans="1:1" x14ac:dyDescent="0.25">
      <c r="A397" t="s">
        <v>180</v>
      </c>
    </row>
    <row r="398" spans="1:1" x14ac:dyDescent="0.25">
      <c r="A398" t="s">
        <v>250</v>
      </c>
    </row>
    <row r="400" spans="1:1" x14ac:dyDescent="0.25">
      <c r="A400" t="s">
        <v>182</v>
      </c>
    </row>
    <row r="401" spans="1:1" x14ac:dyDescent="0.25">
      <c r="A401" t="s">
        <v>183</v>
      </c>
    </row>
    <row r="402" spans="1:1" x14ac:dyDescent="0.25">
      <c r="A402" t="s">
        <v>206</v>
      </c>
    </row>
    <row r="403" spans="1:1" x14ac:dyDescent="0.25">
      <c r="A403" t="s">
        <v>207</v>
      </c>
    </row>
    <row r="404" spans="1:1" x14ac:dyDescent="0.25">
      <c r="A404" t="s">
        <v>251</v>
      </c>
    </row>
    <row r="405" spans="1:1" x14ac:dyDescent="0.25">
      <c r="A405" t="s">
        <v>17</v>
      </c>
    </row>
    <row r="406" spans="1:1" x14ac:dyDescent="0.25">
      <c r="A406" t="s">
        <v>16</v>
      </c>
    </row>
    <row r="407" spans="1:1" x14ac:dyDescent="0.25">
      <c r="A407" t="s">
        <v>166</v>
      </c>
    </row>
    <row r="409" spans="1:1" x14ac:dyDescent="0.25">
      <c r="A409" t="s">
        <v>115</v>
      </c>
    </row>
    <row r="410" spans="1:1" x14ac:dyDescent="0.25">
      <c r="A410" t="s">
        <v>180</v>
      </c>
    </row>
    <row r="411" spans="1:1" x14ac:dyDescent="0.25">
      <c r="A411" t="s">
        <v>252</v>
      </c>
    </row>
    <row r="413" spans="1:1" x14ac:dyDescent="0.25">
      <c r="A413" t="s">
        <v>182</v>
      </c>
    </row>
    <row r="414" spans="1:1" x14ac:dyDescent="0.25">
      <c r="A414" t="s">
        <v>183</v>
      </c>
    </row>
    <row r="415" spans="1:1" x14ac:dyDescent="0.25">
      <c r="A415" t="s">
        <v>228</v>
      </c>
    </row>
    <row r="416" spans="1:1" x14ac:dyDescent="0.25">
      <c r="A416" t="s">
        <v>229</v>
      </c>
    </row>
    <row r="417" spans="1:1" x14ac:dyDescent="0.25">
      <c r="A417" t="s">
        <v>253</v>
      </c>
    </row>
    <row r="418" spans="1:1" x14ac:dyDescent="0.25">
      <c r="A418" t="s">
        <v>17</v>
      </c>
    </row>
    <row r="419" spans="1:1" x14ac:dyDescent="0.25">
      <c r="A419" t="s">
        <v>16</v>
      </c>
    </row>
    <row r="420" spans="1:1" x14ac:dyDescent="0.25">
      <c r="A420" t="s">
        <v>166</v>
      </c>
    </row>
    <row r="422" spans="1:1" x14ac:dyDescent="0.25">
      <c r="A422" t="s">
        <v>115</v>
      </c>
    </row>
    <row r="423" spans="1:1" x14ac:dyDescent="0.25">
      <c r="A423" t="s">
        <v>180</v>
      </c>
    </row>
    <row r="424" spans="1:1" x14ac:dyDescent="0.25">
      <c r="A424" t="s">
        <v>254</v>
      </c>
    </row>
    <row r="426" spans="1:1" x14ac:dyDescent="0.25">
      <c r="A426" t="s">
        <v>182</v>
      </c>
    </row>
    <row r="427" spans="1:1" x14ac:dyDescent="0.25">
      <c r="A427" t="s">
        <v>183</v>
      </c>
    </row>
    <row r="428" spans="1:1" x14ac:dyDescent="0.25">
      <c r="A428" t="s">
        <v>255</v>
      </c>
    </row>
    <row r="429" spans="1:1" x14ac:dyDescent="0.25">
      <c r="A429" t="s">
        <v>17</v>
      </c>
    </row>
    <row r="430" spans="1:1" x14ac:dyDescent="0.25">
      <c r="A430" t="s">
        <v>16</v>
      </c>
    </row>
    <row r="431" spans="1:1" x14ac:dyDescent="0.25">
      <c r="A431" t="s">
        <v>166</v>
      </c>
    </row>
    <row r="433" spans="1:1" x14ac:dyDescent="0.25">
      <c r="A433" t="s">
        <v>115</v>
      </c>
    </row>
    <row r="434" spans="1:1" x14ac:dyDescent="0.25">
      <c r="A434" t="s">
        <v>256</v>
      </c>
    </row>
    <row r="436" spans="1:1" x14ac:dyDescent="0.25">
      <c r="A436" t="s">
        <v>257</v>
      </c>
    </row>
    <row r="437" spans="1:1" x14ac:dyDescent="0.25">
      <c r="A437" t="s">
        <v>258</v>
      </c>
    </row>
    <row r="438" spans="1:1" x14ac:dyDescent="0.25">
      <c r="A438" t="s">
        <v>259</v>
      </c>
    </row>
    <row r="439" spans="1:1" x14ac:dyDescent="0.25">
      <c r="A439" t="s">
        <v>260</v>
      </c>
    </row>
    <row r="440" spans="1:1" x14ac:dyDescent="0.25">
      <c r="A440" t="s">
        <v>261</v>
      </c>
    </row>
    <row r="441" spans="1:1" x14ac:dyDescent="0.25">
      <c r="A441" t="s">
        <v>262</v>
      </c>
    </row>
    <row r="442" spans="1:1" x14ac:dyDescent="0.25">
      <c r="A442" t="s">
        <v>174</v>
      </c>
    </row>
    <row r="443" spans="1:1" x14ac:dyDescent="0.25">
      <c r="A443" t="s">
        <v>175</v>
      </c>
    </row>
    <row r="444" spans="1:1" x14ac:dyDescent="0.25">
      <c r="A444" t="s">
        <v>176</v>
      </c>
    </row>
    <row r="445" spans="1:1" x14ac:dyDescent="0.25">
      <c r="A445" t="s">
        <v>177</v>
      </c>
    </row>
    <row r="446" spans="1:1" x14ac:dyDescent="0.25">
      <c r="A446" t="s">
        <v>178</v>
      </c>
    </row>
    <row r="447" spans="1:1" x14ac:dyDescent="0.25">
      <c r="A447" t="s">
        <v>179</v>
      </c>
    </row>
    <row r="448" spans="1:1" x14ac:dyDescent="0.25">
      <c r="A448" t="s">
        <v>180</v>
      </c>
    </row>
    <row r="449" spans="1:1" x14ac:dyDescent="0.25">
      <c r="A449" t="s">
        <v>263</v>
      </c>
    </row>
    <row r="451" spans="1:1" x14ac:dyDescent="0.25">
      <c r="A451" t="s">
        <v>182</v>
      </c>
    </row>
    <row r="452" spans="1:1" x14ac:dyDescent="0.25">
      <c r="A452" t="s">
        <v>183</v>
      </c>
    </row>
    <row r="453" spans="1:1" x14ac:dyDescent="0.25">
      <c r="A453" t="s">
        <v>217</v>
      </c>
    </row>
    <row r="454" spans="1:1" x14ac:dyDescent="0.25">
      <c r="A454" t="s">
        <v>218</v>
      </c>
    </row>
    <row r="455" spans="1:1" x14ac:dyDescent="0.25">
      <c r="A455" t="s">
        <v>264</v>
      </c>
    </row>
    <row r="456" spans="1:1" x14ac:dyDescent="0.25">
      <c r="A456" t="s">
        <v>17</v>
      </c>
    </row>
    <row r="457" spans="1:1" x14ac:dyDescent="0.25">
      <c r="A457" t="s">
        <v>16</v>
      </c>
    </row>
    <row r="458" spans="1:1" x14ac:dyDescent="0.25">
      <c r="A458" t="s">
        <v>166</v>
      </c>
    </row>
    <row r="460" spans="1:1" x14ac:dyDescent="0.25">
      <c r="A460" t="s">
        <v>115</v>
      </c>
    </row>
    <row r="461" spans="1:1" x14ac:dyDescent="0.25">
      <c r="A461" t="s">
        <v>265</v>
      </c>
    </row>
    <row r="463" spans="1:1" x14ac:dyDescent="0.25">
      <c r="A463" t="s">
        <v>266</v>
      </c>
    </row>
    <row r="464" spans="1:1" x14ac:dyDescent="0.25">
      <c r="A464" t="s">
        <v>267</v>
      </c>
    </row>
    <row r="465" spans="1:1" x14ac:dyDescent="0.25">
      <c r="A465" t="s">
        <v>268</v>
      </c>
    </row>
    <row r="466" spans="1:1" x14ac:dyDescent="0.25">
      <c r="A466" t="s">
        <v>269</v>
      </c>
    </row>
    <row r="467" spans="1:1" x14ac:dyDescent="0.25">
      <c r="A467" t="s">
        <v>270</v>
      </c>
    </row>
    <row r="468" spans="1:1" x14ac:dyDescent="0.25">
      <c r="A468" t="s">
        <v>271</v>
      </c>
    </row>
    <row r="469" spans="1:1" x14ac:dyDescent="0.25">
      <c r="A469" t="s">
        <v>174</v>
      </c>
    </row>
    <row r="470" spans="1:1" x14ac:dyDescent="0.25">
      <c r="A470" t="s">
        <v>175</v>
      </c>
    </row>
    <row r="471" spans="1:1" x14ac:dyDescent="0.25">
      <c r="A471" t="s">
        <v>176</v>
      </c>
    </row>
    <row r="472" spans="1:1" x14ac:dyDescent="0.25">
      <c r="A472" t="s">
        <v>177</v>
      </c>
    </row>
    <row r="473" spans="1:1" x14ac:dyDescent="0.25">
      <c r="A473" t="s">
        <v>178</v>
      </c>
    </row>
    <row r="474" spans="1:1" x14ac:dyDescent="0.25">
      <c r="A474" t="s">
        <v>179</v>
      </c>
    </row>
    <row r="475" spans="1:1" x14ac:dyDescent="0.25">
      <c r="A475" t="s">
        <v>180</v>
      </c>
    </row>
    <row r="476" spans="1:1" x14ac:dyDescent="0.25">
      <c r="A476" t="s">
        <v>272</v>
      </c>
    </row>
    <row r="478" spans="1:1" x14ac:dyDescent="0.25">
      <c r="A478" t="s">
        <v>182</v>
      </c>
    </row>
    <row r="479" spans="1:1" x14ac:dyDescent="0.25">
      <c r="A479" t="s">
        <v>183</v>
      </c>
    </row>
    <row r="480" spans="1:1" x14ac:dyDescent="0.25">
      <c r="A480" t="s">
        <v>195</v>
      </c>
    </row>
    <row r="481" spans="1:1" x14ac:dyDescent="0.25">
      <c r="A481" t="s">
        <v>196</v>
      </c>
    </row>
    <row r="482" spans="1:1" x14ac:dyDescent="0.25">
      <c r="A482" t="s">
        <v>273</v>
      </c>
    </row>
    <row r="483" spans="1:1" x14ac:dyDescent="0.25">
      <c r="A483" t="s">
        <v>17</v>
      </c>
    </row>
    <row r="484" spans="1:1" x14ac:dyDescent="0.25">
      <c r="A484" t="s">
        <v>16</v>
      </c>
    </row>
    <row r="485" spans="1:1" x14ac:dyDescent="0.25">
      <c r="A485" t="s">
        <v>166</v>
      </c>
    </row>
    <row r="487" spans="1:1" x14ac:dyDescent="0.25">
      <c r="A487" t="s">
        <v>115</v>
      </c>
    </row>
    <row r="488" spans="1:1" x14ac:dyDescent="0.25">
      <c r="A488" t="s">
        <v>180</v>
      </c>
    </row>
    <row r="489" spans="1:1" x14ac:dyDescent="0.25">
      <c r="A489" t="s">
        <v>274</v>
      </c>
    </row>
    <row r="491" spans="1:1" x14ac:dyDescent="0.25">
      <c r="A491" t="s">
        <v>217</v>
      </c>
    </row>
    <row r="492" spans="1:1" x14ac:dyDescent="0.25">
      <c r="A492" t="s">
        <v>218</v>
      </c>
    </row>
    <row r="493" spans="1:1" x14ac:dyDescent="0.25">
      <c r="A493" t="s">
        <v>275</v>
      </c>
    </row>
    <row r="494" spans="1:1" x14ac:dyDescent="0.25">
      <c r="A494" t="s">
        <v>17</v>
      </c>
    </row>
    <row r="495" spans="1:1" x14ac:dyDescent="0.25">
      <c r="A495" t="s">
        <v>16</v>
      </c>
    </row>
    <row r="496" spans="1:1" x14ac:dyDescent="0.25">
      <c r="A496" t="s">
        <v>166</v>
      </c>
    </row>
    <row r="498" spans="1:1" x14ac:dyDescent="0.25">
      <c r="A498" t="s">
        <v>115</v>
      </c>
    </row>
    <row r="499" spans="1:1" x14ac:dyDescent="0.25">
      <c r="A499" t="s">
        <v>276</v>
      </c>
    </row>
    <row r="501" spans="1:1" x14ac:dyDescent="0.25">
      <c r="A501" t="s">
        <v>277</v>
      </c>
    </row>
    <row r="502" spans="1:1" x14ac:dyDescent="0.25">
      <c r="A502" t="s">
        <v>278</v>
      </c>
    </row>
    <row r="503" spans="1:1" x14ac:dyDescent="0.25">
      <c r="A503" t="s">
        <v>279</v>
      </c>
    </row>
    <row r="504" spans="1:1" x14ac:dyDescent="0.25">
      <c r="A504" t="s">
        <v>280</v>
      </c>
    </row>
    <row r="505" spans="1:1" x14ac:dyDescent="0.25">
      <c r="A505" t="s">
        <v>281</v>
      </c>
    </row>
    <row r="506" spans="1:1" x14ac:dyDescent="0.25">
      <c r="A506" t="s">
        <v>282</v>
      </c>
    </row>
    <row r="507" spans="1:1" x14ac:dyDescent="0.25">
      <c r="A507" t="s">
        <v>174</v>
      </c>
    </row>
    <row r="508" spans="1:1" x14ac:dyDescent="0.25">
      <c r="A508" t="s">
        <v>175</v>
      </c>
    </row>
    <row r="509" spans="1:1" x14ac:dyDescent="0.25">
      <c r="A509" t="s">
        <v>176</v>
      </c>
    </row>
    <row r="510" spans="1:1" x14ac:dyDescent="0.25">
      <c r="A510" t="s">
        <v>177</v>
      </c>
    </row>
    <row r="511" spans="1:1" x14ac:dyDescent="0.25">
      <c r="A511" t="s">
        <v>178</v>
      </c>
    </row>
    <row r="512" spans="1:1" x14ac:dyDescent="0.25">
      <c r="A512" t="s">
        <v>179</v>
      </c>
    </row>
    <row r="513" spans="1:1" x14ac:dyDescent="0.25">
      <c r="A513" t="s">
        <v>180</v>
      </c>
    </row>
    <row r="514" spans="1:1" x14ac:dyDescent="0.25">
      <c r="A514" t="s">
        <v>283</v>
      </c>
    </row>
    <row r="516" spans="1:1" x14ac:dyDescent="0.25">
      <c r="A516" t="s">
        <v>217</v>
      </c>
    </row>
    <row r="517" spans="1:1" x14ac:dyDescent="0.25">
      <c r="A517" t="s">
        <v>218</v>
      </c>
    </row>
    <row r="518" spans="1:1" x14ac:dyDescent="0.25">
      <c r="A518" t="s">
        <v>195</v>
      </c>
    </row>
    <row r="519" spans="1:1" x14ac:dyDescent="0.25">
      <c r="A519" t="s">
        <v>196</v>
      </c>
    </row>
    <row r="520" spans="1:1" x14ac:dyDescent="0.25">
      <c r="A520" t="s">
        <v>284</v>
      </c>
    </row>
    <row r="521" spans="1:1" x14ac:dyDescent="0.25">
      <c r="A521" t="s">
        <v>17</v>
      </c>
    </row>
    <row r="522" spans="1:1" x14ac:dyDescent="0.25">
      <c r="A522" t="s">
        <v>16</v>
      </c>
    </row>
    <row r="523" spans="1:1" x14ac:dyDescent="0.25">
      <c r="A523" t="s">
        <v>166</v>
      </c>
    </row>
    <row r="525" spans="1:1" x14ac:dyDescent="0.25">
      <c r="A525" t="s">
        <v>115</v>
      </c>
    </row>
    <row r="526" spans="1:1" x14ac:dyDescent="0.25">
      <c r="A526" t="s">
        <v>285</v>
      </c>
    </row>
    <row r="528" spans="1:1" x14ac:dyDescent="0.25">
      <c r="A528" t="s">
        <v>286</v>
      </c>
    </row>
    <row r="529" spans="1:1" x14ac:dyDescent="0.25">
      <c r="A529" t="s">
        <v>287</v>
      </c>
    </row>
    <row r="530" spans="1:1" x14ac:dyDescent="0.25">
      <c r="A530" t="s">
        <v>288</v>
      </c>
    </row>
    <row r="531" spans="1:1" x14ac:dyDescent="0.25">
      <c r="A531" t="s">
        <v>289</v>
      </c>
    </row>
    <row r="532" spans="1:1" x14ac:dyDescent="0.25">
      <c r="A532" t="s">
        <v>290</v>
      </c>
    </row>
    <row r="533" spans="1:1" x14ac:dyDescent="0.25">
      <c r="A533" t="s">
        <v>291</v>
      </c>
    </row>
    <row r="534" spans="1:1" x14ac:dyDescent="0.25">
      <c r="A534" t="s">
        <v>174</v>
      </c>
    </row>
    <row r="535" spans="1:1" x14ac:dyDescent="0.25">
      <c r="A535" t="s">
        <v>175</v>
      </c>
    </row>
    <row r="536" spans="1:1" x14ac:dyDescent="0.25">
      <c r="A536" t="s">
        <v>176</v>
      </c>
    </row>
    <row r="537" spans="1:1" x14ac:dyDescent="0.25">
      <c r="A537" t="s">
        <v>177</v>
      </c>
    </row>
    <row r="538" spans="1:1" x14ac:dyDescent="0.25">
      <c r="A538" t="s">
        <v>178</v>
      </c>
    </row>
    <row r="539" spans="1:1" x14ac:dyDescent="0.25">
      <c r="A539" t="s">
        <v>179</v>
      </c>
    </row>
    <row r="540" spans="1:1" x14ac:dyDescent="0.25">
      <c r="A540" t="s">
        <v>180</v>
      </c>
    </row>
    <row r="541" spans="1:1" x14ac:dyDescent="0.25">
      <c r="A541" t="s">
        <v>292</v>
      </c>
    </row>
    <row r="543" spans="1:1" x14ac:dyDescent="0.25">
      <c r="A543" t="s">
        <v>184</v>
      </c>
    </row>
    <row r="544" spans="1:1" x14ac:dyDescent="0.25">
      <c r="A544" t="s">
        <v>185</v>
      </c>
    </row>
    <row r="545" spans="1:1" x14ac:dyDescent="0.25">
      <c r="A545" t="s">
        <v>293</v>
      </c>
    </row>
    <row r="546" spans="1:1" x14ac:dyDescent="0.25">
      <c r="A546" t="s">
        <v>17</v>
      </c>
    </row>
    <row r="547" spans="1:1" x14ac:dyDescent="0.25">
      <c r="A547" t="s">
        <v>16</v>
      </c>
    </row>
    <row r="548" spans="1:1" x14ac:dyDescent="0.25">
      <c r="A548" t="s">
        <v>166</v>
      </c>
    </row>
    <row r="550" spans="1:1" x14ac:dyDescent="0.25">
      <c r="A550" t="s">
        <v>115</v>
      </c>
    </row>
    <row r="551" spans="1:1" x14ac:dyDescent="0.25">
      <c r="A551" t="s">
        <v>180</v>
      </c>
    </row>
    <row r="552" spans="1:1" x14ac:dyDescent="0.25">
      <c r="A552" t="s">
        <v>294</v>
      </c>
    </row>
    <row r="554" spans="1:1" x14ac:dyDescent="0.25">
      <c r="A554" t="s">
        <v>184</v>
      </c>
    </row>
    <row r="555" spans="1:1" x14ac:dyDescent="0.25">
      <c r="A555" t="s">
        <v>185</v>
      </c>
    </row>
    <row r="556" spans="1:1" x14ac:dyDescent="0.25">
      <c r="A556" t="s">
        <v>295</v>
      </c>
    </row>
    <row r="557" spans="1:1" x14ac:dyDescent="0.25">
      <c r="A557" t="s">
        <v>17</v>
      </c>
    </row>
    <row r="558" spans="1:1" x14ac:dyDescent="0.25">
      <c r="A558" t="s">
        <v>16</v>
      </c>
    </row>
    <row r="559" spans="1:1" x14ac:dyDescent="0.25">
      <c r="A559" t="s">
        <v>166</v>
      </c>
    </row>
    <row r="561" spans="1:1" x14ac:dyDescent="0.25">
      <c r="A561" t="s">
        <v>115</v>
      </c>
    </row>
    <row r="562" spans="1:1" x14ac:dyDescent="0.25">
      <c r="A562" t="s">
        <v>180</v>
      </c>
    </row>
    <row r="563" spans="1:1" x14ac:dyDescent="0.25">
      <c r="A563" t="s">
        <v>296</v>
      </c>
    </row>
    <row r="565" spans="1:1" x14ac:dyDescent="0.25">
      <c r="A565" t="s">
        <v>184</v>
      </c>
    </row>
    <row r="566" spans="1:1" x14ac:dyDescent="0.25">
      <c r="A566" t="s">
        <v>185</v>
      </c>
    </row>
    <row r="567" spans="1:1" x14ac:dyDescent="0.25">
      <c r="A567" t="s">
        <v>297</v>
      </c>
    </row>
    <row r="568" spans="1:1" x14ac:dyDescent="0.25">
      <c r="A568" t="s">
        <v>17</v>
      </c>
    </row>
    <row r="569" spans="1:1" x14ac:dyDescent="0.25">
      <c r="A569" t="s">
        <v>16</v>
      </c>
    </row>
    <row r="570" spans="1:1" x14ac:dyDescent="0.25">
      <c r="A570" t="s">
        <v>166</v>
      </c>
    </row>
    <row r="572" spans="1:1" x14ac:dyDescent="0.25">
      <c r="A572" t="s">
        <v>115</v>
      </c>
    </row>
    <row r="573" spans="1:1" x14ac:dyDescent="0.25">
      <c r="A573" t="s">
        <v>180</v>
      </c>
    </row>
    <row r="574" spans="1:1" x14ac:dyDescent="0.25">
      <c r="A574" t="s">
        <v>298</v>
      </c>
    </row>
    <row r="576" spans="1:1" x14ac:dyDescent="0.25">
      <c r="A576" t="s">
        <v>206</v>
      </c>
    </row>
    <row r="577" spans="1:1" x14ac:dyDescent="0.25">
      <c r="A577" t="s">
        <v>207</v>
      </c>
    </row>
    <row r="578" spans="1:1" x14ac:dyDescent="0.25">
      <c r="A578" t="s">
        <v>299</v>
      </c>
    </row>
    <row r="579" spans="1:1" x14ac:dyDescent="0.25">
      <c r="A579" t="s">
        <v>17</v>
      </c>
    </row>
    <row r="580" spans="1:1" x14ac:dyDescent="0.25">
      <c r="A580" t="s">
        <v>16</v>
      </c>
    </row>
    <row r="581" spans="1:1" x14ac:dyDescent="0.25">
      <c r="A581" t="s">
        <v>166</v>
      </c>
    </row>
    <row r="583" spans="1:1" x14ac:dyDescent="0.25">
      <c r="A583" t="s">
        <v>115</v>
      </c>
    </row>
    <row r="584" spans="1:1" x14ac:dyDescent="0.25">
      <c r="A584" t="s">
        <v>180</v>
      </c>
    </row>
    <row r="585" spans="1:1" x14ac:dyDescent="0.25">
      <c r="A585" t="s">
        <v>300</v>
      </c>
    </row>
    <row r="587" spans="1:1" x14ac:dyDescent="0.25">
      <c r="A587" t="s">
        <v>206</v>
      </c>
    </row>
    <row r="588" spans="1:1" x14ac:dyDescent="0.25">
      <c r="A588" t="s">
        <v>207</v>
      </c>
    </row>
    <row r="589" spans="1:1" x14ac:dyDescent="0.25">
      <c r="A589" t="s">
        <v>239</v>
      </c>
    </row>
    <row r="590" spans="1:1" x14ac:dyDescent="0.25">
      <c r="A590" t="s">
        <v>240</v>
      </c>
    </row>
    <row r="591" spans="1:1" x14ac:dyDescent="0.25">
      <c r="A591" t="s">
        <v>301</v>
      </c>
    </row>
    <row r="592" spans="1:1" x14ac:dyDescent="0.25">
      <c r="A592" t="s">
        <v>17</v>
      </c>
    </row>
    <row r="593" spans="1:1" x14ac:dyDescent="0.25">
      <c r="A593" t="s">
        <v>16</v>
      </c>
    </row>
    <row r="594" spans="1:1" x14ac:dyDescent="0.25">
      <c r="A594" t="s">
        <v>166</v>
      </c>
    </row>
    <row r="596" spans="1:1" x14ac:dyDescent="0.25">
      <c r="A596" t="s">
        <v>115</v>
      </c>
    </row>
    <row r="597" spans="1:1" x14ac:dyDescent="0.25">
      <c r="A597" t="s">
        <v>180</v>
      </c>
    </row>
    <row r="598" spans="1:1" x14ac:dyDescent="0.25">
      <c r="A598" t="s">
        <v>302</v>
      </c>
    </row>
    <row r="600" spans="1:1" x14ac:dyDescent="0.25">
      <c r="A600" t="s">
        <v>228</v>
      </c>
    </row>
    <row r="601" spans="1:1" x14ac:dyDescent="0.25">
      <c r="A601" t="s">
        <v>229</v>
      </c>
    </row>
    <row r="602" spans="1:1" x14ac:dyDescent="0.25">
      <c r="A602" t="s">
        <v>303</v>
      </c>
    </row>
    <row r="603" spans="1:1" x14ac:dyDescent="0.25">
      <c r="A603" t="s">
        <v>17</v>
      </c>
    </row>
    <row r="604" spans="1:1" x14ac:dyDescent="0.25">
      <c r="A604" t="s">
        <v>16</v>
      </c>
    </row>
    <row r="605" spans="1:1" x14ac:dyDescent="0.25">
      <c r="A605" t="s">
        <v>166</v>
      </c>
    </row>
    <row r="607" spans="1:1" x14ac:dyDescent="0.25">
      <c r="A607" t="s">
        <v>115</v>
      </c>
    </row>
    <row r="608" spans="1:1" x14ac:dyDescent="0.25">
      <c r="A608" t="s">
        <v>180</v>
      </c>
    </row>
    <row r="609" spans="1:1" x14ac:dyDescent="0.25">
      <c r="A609" t="s">
        <v>304</v>
      </c>
    </row>
    <row r="611" spans="1:1" x14ac:dyDescent="0.25">
      <c r="A611" t="s">
        <v>182</v>
      </c>
    </row>
    <row r="612" spans="1:1" x14ac:dyDescent="0.25">
      <c r="A612" t="s">
        <v>183</v>
      </c>
    </row>
    <row r="613" spans="1:1" x14ac:dyDescent="0.25">
      <c r="A613" t="s">
        <v>305</v>
      </c>
    </row>
    <row r="614" spans="1:1" x14ac:dyDescent="0.25">
      <c r="A614" t="s">
        <v>17</v>
      </c>
    </row>
    <row r="615" spans="1:1" x14ac:dyDescent="0.25">
      <c r="A615" t="s">
        <v>16</v>
      </c>
    </row>
    <row r="616" spans="1:1" x14ac:dyDescent="0.25">
      <c r="A616" t="s">
        <v>166</v>
      </c>
    </row>
    <row r="618" spans="1:1" x14ac:dyDescent="0.25">
      <c r="A618" t="s">
        <v>115</v>
      </c>
    </row>
    <row r="619" spans="1:1" x14ac:dyDescent="0.25">
      <c r="A619" t="s">
        <v>180</v>
      </c>
    </row>
    <row r="620" spans="1:1" x14ac:dyDescent="0.25">
      <c r="A620" t="s">
        <v>306</v>
      </c>
    </row>
    <row r="622" spans="1:1" x14ac:dyDescent="0.25">
      <c r="A622" t="s">
        <v>182</v>
      </c>
    </row>
    <row r="623" spans="1:1" x14ac:dyDescent="0.25">
      <c r="A623" t="s">
        <v>183</v>
      </c>
    </row>
    <row r="624" spans="1:1" x14ac:dyDescent="0.25">
      <c r="A624" t="s">
        <v>239</v>
      </c>
    </row>
    <row r="625" spans="1:1" x14ac:dyDescent="0.25">
      <c r="A625" t="s">
        <v>240</v>
      </c>
    </row>
    <row r="626" spans="1:1" x14ac:dyDescent="0.25">
      <c r="A626" t="s">
        <v>307</v>
      </c>
    </row>
    <row r="627" spans="1:1" x14ac:dyDescent="0.25">
      <c r="A627" t="s">
        <v>17</v>
      </c>
    </row>
    <row r="628" spans="1:1" x14ac:dyDescent="0.25">
      <c r="A628" t="s">
        <v>16</v>
      </c>
    </row>
    <row r="629" spans="1:1" x14ac:dyDescent="0.25">
      <c r="A629" t="s">
        <v>166</v>
      </c>
    </row>
    <row r="631" spans="1:1" x14ac:dyDescent="0.25">
      <c r="A631" t="s">
        <v>115</v>
      </c>
    </row>
    <row r="632" spans="1:1" x14ac:dyDescent="0.25">
      <c r="A632" t="s">
        <v>180</v>
      </c>
    </row>
    <row r="633" spans="1:1" x14ac:dyDescent="0.25">
      <c r="A633" t="s">
        <v>308</v>
      </c>
    </row>
    <row r="635" spans="1:1" x14ac:dyDescent="0.25">
      <c r="A635" t="s">
        <v>182</v>
      </c>
    </row>
    <row r="636" spans="1:1" x14ac:dyDescent="0.25">
      <c r="A636" t="s">
        <v>183</v>
      </c>
    </row>
    <row r="637" spans="1:1" x14ac:dyDescent="0.25">
      <c r="A637" t="s">
        <v>309</v>
      </c>
    </row>
    <row r="638" spans="1:1" x14ac:dyDescent="0.25">
      <c r="A638" t="s">
        <v>17</v>
      </c>
    </row>
    <row r="639" spans="1:1" x14ac:dyDescent="0.25">
      <c r="A639" t="s">
        <v>16</v>
      </c>
    </row>
    <row r="640" spans="1:1" x14ac:dyDescent="0.25">
      <c r="A640" t="s">
        <v>166</v>
      </c>
    </row>
    <row r="642" spans="1:1" x14ac:dyDescent="0.25">
      <c r="A642" t="s">
        <v>115</v>
      </c>
    </row>
    <row r="643" spans="1:1" x14ac:dyDescent="0.25">
      <c r="A643" t="s">
        <v>180</v>
      </c>
    </row>
    <row r="644" spans="1:1" x14ac:dyDescent="0.25">
      <c r="A644" t="s">
        <v>310</v>
      </c>
    </row>
    <row r="646" spans="1:1" x14ac:dyDescent="0.25">
      <c r="A646" t="s">
        <v>182</v>
      </c>
    </row>
    <row r="647" spans="1:1" x14ac:dyDescent="0.25">
      <c r="A647" t="s">
        <v>183</v>
      </c>
    </row>
    <row r="648" spans="1:1" x14ac:dyDescent="0.25">
      <c r="A648" t="s">
        <v>311</v>
      </c>
    </row>
    <row r="649" spans="1:1" x14ac:dyDescent="0.25">
      <c r="A649" t="s">
        <v>17</v>
      </c>
    </row>
    <row r="650" spans="1:1" x14ac:dyDescent="0.25">
      <c r="A650" t="s">
        <v>16</v>
      </c>
    </row>
    <row r="651" spans="1:1" x14ac:dyDescent="0.25">
      <c r="A651" t="s">
        <v>166</v>
      </c>
    </row>
    <row r="653" spans="1:1" x14ac:dyDescent="0.25">
      <c r="A653" t="s">
        <v>115</v>
      </c>
    </row>
    <row r="654" spans="1:1" x14ac:dyDescent="0.25">
      <c r="A654" t="s">
        <v>180</v>
      </c>
    </row>
    <row r="655" spans="1:1" x14ac:dyDescent="0.25">
      <c r="A655" t="s">
        <v>312</v>
      </c>
    </row>
    <row r="657" spans="1:1" x14ac:dyDescent="0.25">
      <c r="A657" t="s">
        <v>217</v>
      </c>
    </row>
    <row r="658" spans="1:1" x14ac:dyDescent="0.25">
      <c r="A658" t="s">
        <v>218</v>
      </c>
    </row>
    <row r="659" spans="1:1" x14ac:dyDescent="0.25">
      <c r="A659" t="s">
        <v>206</v>
      </c>
    </row>
    <row r="660" spans="1:1" x14ac:dyDescent="0.25">
      <c r="A660" t="s">
        <v>207</v>
      </c>
    </row>
    <row r="661" spans="1:1" x14ac:dyDescent="0.25">
      <c r="A661" t="s">
        <v>313</v>
      </c>
    </row>
    <row r="662" spans="1:1" x14ac:dyDescent="0.25">
      <c r="A662" t="s">
        <v>17</v>
      </c>
    </row>
    <row r="663" spans="1:1" x14ac:dyDescent="0.25">
      <c r="A663" t="s">
        <v>16</v>
      </c>
    </row>
    <row r="664" spans="1:1" x14ac:dyDescent="0.25">
      <c r="A664" t="s">
        <v>166</v>
      </c>
    </row>
    <row r="666" spans="1:1" x14ac:dyDescent="0.25">
      <c r="A666" t="s">
        <v>115</v>
      </c>
    </row>
    <row r="667" spans="1:1" x14ac:dyDescent="0.25">
      <c r="A667" t="s">
        <v>180</v>
      </c>
    </row>
    <row r="668" spans="1:1" x14ac:dyDescent="0.25">
      <c r="A668" t="s">
        <v>314</v>
      </c>
    </row>
    <row r="670" spans="1:1" x14ac:dyDescent="0.25">
      <c r="A670" t="s">
        <v>217</v>
      </c>
    </row>
    <row r="671" spans="1:1" x14ac:dyDescent="0.25">
      <c r="A671" t="s">
        <v>218</v>
      </c>
    </row>
    <row r="672" spans="1:1" x14ac:dyDescent="0.25">
      <c r="A672" t="s">
        <v>228</v>
      </c>
    </row>
    <row r="673" spans="1:1" x14ac:dyDescent="0.25">
      <c r="A673" t="s">
        <v>229</v>
      </c>
    </row>
    <row r="674" spans="1:1" x14ac:dyDescent="0.25">
      <c r="A674" t="s">
        <v>315</v>
      </c>
    </row>
    <row r="675" spans="1:1" x14ac:dyDescent="0.25">
      <c r="A675" t="s">
        <v>17</v>
      </c>
    </row>
    <row r="676" spans="1:1" x14ac:dyDescent="0.25">
      <c r="A676" t="s">
        <v>16</v>
      </c>
    </row>
    <row r="677" spans="1:1" x14ac:dyDescent="0.25">
      <c r="A677" t="s">
        <v>166</v>
      </c>
    </row>
    <row r="679" spans="1:1" x14ac:dyDescent="0.25">
      <c r="A679" t="s">
        <v>115</v>
      </c>
    </row>
    <row r="680" spans="1:1" x14ac:dyDescent="0.25">
      <c r="A680" t="s">
        <v>180</v>
      </c>
    </row>
    <row r="681" spans="1:1" x14ac:dyDescent="0.25">
      <c r="A681" t="s">
        <v>316</v>
      </c>
    </row>
    <row r="683" spans="1:1" x14ac:dyDescent="0.25">
      <c r="A683" t="s">
        <v>217</v>
      </c>
    </row>
    <row r="684" spans="1:1" x14ac:dyDescent="0.25">
      <c r="A684" t="s">
        <v>218</v>
      </c>
    </row>
    <row r="685" spans="1:1" x14ac:dyDescent="0.25">
      <c r="A685" t="s">
        <v>239</v>
      </c>
    </row>
    <row r="686" spans="1:1" x14ac:dyDescent="0.25">
      <c r="A686" t="s">
        <v>240</v>
      </c>
    </row>
    <row r="687" spans="1:1" x14ac:dyDescent="0.25">
      <c r="A687" t="s">
        <v>317</v>
      </c>
    </row>
    <row r="688" spans="1:1" x14ac:dyDescent="0.25">
      <c r="A688" t="s">
        <v>17</v>
      </c>
    </row>
    <row r="689" spans="1:1" x14ac:dyDescent="0.25">
      <c r="A689" t="s">
        <v>16</v>
      </c>
    </row>
    <row r="690" spans="1:1" x14ac:dyDescent="0.25">
      <c r="A690" t="s">
        <v>166</v>
      </c>
    </row>
    <row r="692" spans="1:1" x14ac:dyDescent="0.25">
      <c r="A692" t="s">
        <v>115</v>
      </c>
    </row>
    <row r="693" spans="1:1" x14ac:dyDescent="0.25">
      <c r="A693" t="s">
        <v>180</v>
      </c>
    </row>
    <row r="694" spans="1:1" x14ac:dyDescent="0.25">
      <c r="A694" t="s">
        <v>318</v>
      </c>
    </row>
    <row r="696" spans="1:1" x14ac:dyDescent="0.25">
      <c r="A696" t="s">
        <v>239</v>
      </c>
    </row>
    <row r="697" spans="1:1" x14ac:dyDescent="0.25">
      <c r="A697" t="s">
        <v>240</v>
      </c>
    </row>
    <row r="698" spans="1:1" x14ac:dyDescent="0.25">
      <c r="A698" t="s">
        <v>228</v>
      </c>
    </row>
    <row r="699" spans="1:1" x14ac:dyDescent="0.25">
      <c r="A699" t="s">
        <v>229</v>
      </c>
    </row>
    <row r="700" spans="1:1" x14ac:dyDescent="0.25">
      <c r="A700" t="s">
        <v>319</v>
      </c>
    </row>
    <row r="701" spans="1:1" x14ac:dyDescent="0.25">
      <c r="A701" t="s">
        <v>17</v>
      </c>
    </row>
    <row r="702" spans="1:1" x14ac:dyDescent="0.25">
      <c r="A702" t="s">
        <v>16</v>
      </c>
    </row>
    <row r="703" spans="1:1" x14ac:dyDescent="0.25">
      <c r="A703" t="s">
        <v>166</v>
      </c>
    </row>
    <row r="705" spans="1:1" x14ac:dyDescent="0.25">
      <c r="A705" t="s">
        <v>115</v>
      </c>
    </row>
    <row r="706" spans="1:1" x14ac:dyDescent="0.25">
      <c r="A706" t="s">
        <v>180</v>
      </c>
    </row>
    <row r="707" spans="1:1" x14ac:dyDescent="0.25">
      <c r="A707" t="s">
        <v>320</v>
      </c>
    </row>
    <row r="709" spans="1:1" x14ac:dyDescent="0.25">
      <c r="A709" t="s">
        <v>239</v>
      </c>
    </row>
    <row r="710" spans="1:1" x14ac:dyDescent="0.25">
      <c r="A710" t="s">
        <v>240</v>
      </c>
    </row>
    <row r="711" spans="1:1" x14ac:dyDescent="0.25">
      <c r="A711" t="s">
        <v>321</v>
      </c>
    </row>
    <row r="712" spans="1:1" x14ac:dyDescent="0.25">
      <c r="A712" t="s">
        <v>17</v>
      </c>
    </row>
    <row r="713" spans="1:1" x14ac:dyDescent="0.25">
      <c r="A713" t="s">
        <v>16</v>
      </c>
    </row>
    <row r="714" spans="1:1" x14ac:dyDescent="0.25">
      <c r="A714" t="s">
        <v>166</v>
      </c>
    </row>
    <row r="716" spans="1:1" x14ac:dyDescent="0.25">
      <c r="A716" t="s">
        <v>115</v>
      </c>
    </row>
    <row r="717" spans="1:1" x14ac:dyDescent="0.25">
      <c r="A717" t="s">
        <v>180</v>
      </c>
    </row>
    <row r="718" spans="1:1" x14ac:dyDescent="0.25">
      <c r="A718" t="s">
        <v>322</v>
      </c>
    </row>
    <row r="720" spans="1:1" x14ac:dyDescent="0.25">
      <c r="A720" t="s">
        <v>239</v>
      </c>
    </row>
    <row r="721" spans="1:1" x14ac:dyDescent="0.25">
      <c r="A721" t="s">
        <v>240</v>
      </c>
    </row>
    <row r="722" spans="1:1" x14ac:dyDescent="0.25">
      <c r="A722" t="s">
        <v>195</v>
      </c>
    </row>
    <row r="723" spans="1:1" x14ac:dyDescent="0.25">
      <c r="A723" t="s">
        <v>196</v>
      </c>
    </row>
    <row r="724" spans="1:1" x14ac:dyDescent="0.25">
      <c r="A724" t="s">
        <v>323</v>
      </c>
    </row>
    <row r="725" spans="1:1" x14ac:dyDescent="0.25">
      <c r="A725" t="s">
        <v>17</v>
      </c>
    </row>
    <row r="726" spans="1:1" x14ac:dyDescent="0.25">
      <c r="A726" t="s">
        <v>16</v>
      </c>
    </row>
    <row r="727" spans="1:1" x14ac:dyDescent="0.25">
      <c r="A727" t="s">
        <v>166</v>
      </c>
    </row>
    <row r="729" spans="1:1" x14ac:dyDescent="0.25">
      <c r="A729" t="s">
        <v>115</v>
      </c>
    </row>
    <row r="730" spans="1:1" x14ac:dyDescent="0.25">
      <c r="A730" t="s">
        <v>324</v>
      </c>
    </row>
    <row r="732" spans="1:1" x14ac:dyDescent="0.25">
      <c r="A732" t="s">
        <v>325</v>
      </c>
    </row>
    <row r="733" spans="1:1" x14ac:dyDescent="0.25">
      <c r="A733" t="s">
        <v>326</v>
      </c>
    </row>
    <row r="734" spans="1:1" x14ac:dyDescent="0.25">
      <c r="A734" t="s">
        <v>327</v>
      </c>
    </row>
    <row r="735" spans="1:1" x14ac:dyDescent="0.25">
      <c r="A735" t="s">
        <v>328</v>
      </c>
    </row>
    <row r="736" spans="1:1" x14ac:dyDescent="0.25">
      <c r="A736" t="s">
        <v>329</v>
      </c>
    </row>
    <row r="737" spans="1:1" x14ac:dyDescent="0.25">
      <c r="A737" t="s">
        <v>330</v>
      </c>
    </row>
    <row r="738" spans="1:1" x14ac:dyDescent="0.25">
      <c r="A738" t="s">
        <v>174</v>
      </c>
    </row>
    <row r="739" spans="1:1" x14ac:dyDescent="0.25">
      <c r="A739" t="s">
        <v>175</v>
      </c>
    </row>
    <row r="740" spans="1:1" x14ac:dyDescent="0.25">
      <c r="A740" t="s">
        <v>176</v>
      </c>
    </row>
    <row r="741" spans="1:1" x14ac:dyDescent="0.25">
      <c r="A741" t="s">
        <v>177</v>
      </c>
    </row>
    <row r="742" spans="1:1" x14ac:dyDescent="0.25">
      <c r="A742" t="s">
        <v>178</v>
      </c>
    </row>
    <row r="743" spans="1:1" x14ac:dyDescent="0.25">
      <c r="A743" t="s">
        <v>179</v>
      </c>
    </row>
    <row r="744" spans="1:1" x14ac:dyDescent="0.25">
      <c r="A744" t="s">
        <v>180</v>
      </c>
    </row>
    <row r="745" spans="1:1" x14ac:dyDescent="0.25">
      <c r="A745" t="s">
        <v>331</v>
      </c>
    </row>
    <row r="747" spans="1:1" x14ac:dyDescent="0.25">
      <c r="A747" t="s">
        <v>184</v>
      </c>
    </row>
    <row r="748" spans="1:1" x14ac:dyDescent="0.25">
      <c r="A748" t="s">
        <v>185</v>
      </c>
    </row>
    <row r="749" spans="1:1" x14ac:dyDescent="0.25">
      <c r="A749" t="s">
        <v>332</v>
      </c>
    </row>
    <row r="750" spans="1:1" x14ac:dyDescent="0.25">
      <c r="A750" t="s">
        <v>17</v>
      </c>
    </row>
    <row r="751" spans="1:1" x14ac:dyDescent="0.25">
      <c r="A751" t="s">
        <v>16</v>
      </c>
    </row>
    <row r="752" spans="1:1" x14ac:dyDescent="0.25">
      <c r="A752" t="s">
        <v>166</v>
      </c>
    </row>
    <row r="754" spans="1:1" x14ac:dyDescent="0.25">
      <c r="A754" t="s">
        <v>115</v>
      </c>
    </row>
    <row r="755" spans="1:1" x14ac:dyDescent="0.25">
      <c r="A755" t="s">
        <v>180</v>
      </c>
    </row>
    <row r="756" spans="1:1" x14ac:dyDescent="0.25">
      <c r="A756" t="s">
        <v>333</v>
      </c>
    </row>
    <row r="758" spans="1:1" x14ac:dyDescent="0.25">
      <c r="A758" t="s">
        <v>184</v>
      </c>
    </row>
    <row r="759" spans="1:1" x14ac:dyDescent="0.25">
      <c r="A759" t="s">
        <v>185</v>
      </c>
    </row>
    <row r="760" spans="1:1" x14ac:dyDescent="0.25">
      <c r="A760" t="s">
        <v>334</v>
      </c>
    </row>
    <row r="761" spans="1:1" x14ac:dyDescent="0.25">
      <c r="A761" t="s">
        <v>17</v>
      </c>
    </row>
    <row r="762" spans="1:1" x14ac:dyDescent="0.25">
      <c r="A762" t="s">
        <v>16</v>
      </c>
    </row>
    <row r="763" spans="1:1" x14ac:dyDescent="0.25">
      <c r="A763" t="s">
        <v>166</v>
      </c>
    </row>
    <row r="765" spans="1:1" x14ac:dyDescent="0.25">
      <c r="A765" t="s">
        <v>115</v>
      </c>
    </row>
    <row r="766" spans="1:1" x14ac:dyDescent="0.25">
      <c r="A766" t="s">
        <v>180</v>
      </c>
    </row>
    <row r="767" spans="1:1" x14ac:dyDescent="0.25">
      <c r="A767" t="s">
        <v>335</v>
      </c>
    </row>
    <row r="769" spans="1:1" x14ac:dyDescent="0.25">
      <c r="A769" t="s">
        <v>184</v>
      </c>
    </row>
    <row r="770" spans="1:1" x14ac:dyDescent="0.25">
      <c r="A770" t="s">
        <v>185</v>
      </c>
    </row>
    <row r="771" spans="1:1" x14ac:dyDescent="0.25">
      <c r="A771" t="s">
        <v>336</v>
      </c>
    </row>
    <row r="772" spans="1:1" x14ac:dyDescent="0.25">
      <c r="A772" t="s">
        <v>17</v>
      </c>
    </row>
    <row r="773" spans="1:1" x14ac:dyDescent="0.25">
      <c r="A773" t="s">
        <v>16</v>
      </c>
    </row>
    <row r="774" spans="1:1" x14ac:dyDescent="0.25">
      <c r="A774" t="s">
        <v>166</v>
      </c>
    </row>
    <row r="776" spans="1:1" x14ac:dyDescent="0.25">
      <c r="A776" t="s">
        <v>115</v>
      </c>
    </row>
    <row r="777" spans="1:1" x14ac:dyDescent="0.25">
      <c r="A777" t="s">
        <v>180</v>
      </c>
    </row>
    <row r="778" spans="1:1" x14ac:dyDescent="0.25">
      <c r="A778" t="s">
        <v>337</v>
      </c>
    </row>
    <row r="780" spans="1:1" x14ac:dyDescent="0.25">
      <c r="A780" t="s">
        <v>184</v>
      </c>
    </row>
    <row r="781" spans="1:1" x14ac:dyDescent="0.25">
      <c r="A781" t="s">
        <v>185</v>
      </c>
    </row>
    <row r="782" spans="1:1" x14ac:dyDescent="0.25">
      <c r="A782" t="s">
        <v>338</v>
      </c>
    </row>
    <row r="783" spans="1:1" x14ac:dyDescent="0.25">
      <c r="A783" t="s">
        <v>121</v>
      </c>
    </row>
    <row r="785" spans="1:1" x14ac:dyDescent="0.25">
      <c r="A785" t="s">
        <v>339</v>
      </c>
    </row>
    <row r="787" spans="1:1" x14ac:dyDescent="0.25">
      <c r="A787" t="s">
        <v>340</v>
      </c>
    </row>
    <row r="788" spans="1:1" x14ac:dyDescent="0.25">
      <c r="A788" t="s">
        <v>141</v>
      </c>
    </row>
    <row r="789" spans="1:1" x14ac:dyDescent="0.25">
      <c r="A789" t="s">
        <v>341</v>
      </c>
    </row>
    <row r="790" spans="1:1" x14ac:dyDescent="0.25">
      <c r="A790" t="s">
        <v>127</v>
      </c>
    </row>
    <row r="791" spans="1:1" x14ac:dyDescent="0.25">
      <c r="A791" t="s">
        <v>342</v>
      </c>
    </row>
    <row r="792" spans="1:1" x14ac:dyDescent="0.25">
      <c r="A792" t="s">
        <v>141</v>
      </c>
    </row>
    <row r="793" spans="1:1" x14ac:dyDescent="0.25">
      <c r="A793" t="s">
        <v>343</v>
      </c>
    </row>
    <row r="794" spans="1:1" x14ac:dyDescent="0.25">
      <c r="A794" t="s">
        <v>344</v>
      </c>
    </row>
    <row r="795" spans="1:1" x14ac:dyDescent="0.25">
      <c r="A795" t="s">
        <v>345</v>
      </c>
    </row>
    <row r="796" spans="1:1" x14ac:dyDescent="0.25">
      <c r="A796" t="s">
        <v>17</v>
      </c>
    </row>
    <row r="797" spans="1:1" x14ac:dyDescent="0.25">
      <c r="A797" t="s">
        <v>16</v>
      </c>
    </row>
    <row r="798" spans="1:1" x14ac:dyDescent="0.25">
      <c r="A798" t="s">
        <v>166</v>
      </c>
    </row>
    <row r="800" spans="1:1" x14ac:dyDescent="0.25">
      <c r="A800" t="s">
        <v>115</v>
      </c>
    </row>
    <row r="801" spans="1:1" x14ac:dyDescent="0.25">
      <c r="A801" t="s">
        <v>346</v>
      </c>
    </row>
    <row r="803" spans="1:1" x14ac:dyDescent="0.25">
      <c r="A803" t="s">
        <v>347</v>
      </c>
    </row>
    <row r="804" spans="1:1" x14ac:dyDescent="0.25">
      <c r="A804" t="s">
        <v>348</v>
      </c>
    </row>
    <row r="805" spans="1:1" x14ac:dyDescent="0.25">
      <c r="A805" t="s">
        <v>349</v>
      </c>
    </row>
    <row r="806" spans="1:1" x14ac:dyDescent="0.25">
      <c r="A806" t="s">
        <v>350</v>
      </c>
    </row>
    <row r="807" spans="1:1" x14ac:dyDescent="0.25">
      <c r="A807" t="s">
        <v>351</v>
      </c>
    </row>
    <row r="808" spans="1:1" x14ac:dyDescent="0.25">
      <c r="A808" t="s">
        <v>352</v>
      </c>
    </row>
    <row r="809" spans="1:1" x14ac:dyDescent="0.25">
      <c r="A809" t="s">
        <v>174</v>
      </c>
    </row>
    <row r="810" spans="1:1" x14ac:dyDescent="0.25">
      <c r="A810" t="s">
        <v>175</v>
      </c>
    </row>
    <row r="811" spans="1:1" x14ac:dyDescent="0.25">
      <c r="A811" t="s">
        <v>176</v>
      </c>
    </row>
    <row r="812" spans="1:1" x14ac:dyDescent="0.25">
      <c r="A812" t="s">
        <v>177</v>
      </c>
    </row>
    <row r="813" spans="1:1" x14ac:dyDescent="0.25">
      <c r="A813" t="s">
        <v>178</v>
      </c>
    </row>
    <row r="814" spans="1:1" x14ac:dyDescent="0.25">
      <c r="A814" t="s">
        <v>179</v>
      </c>
    </row>
    <row r="815" spans="1:1" x14ac:dyDescent="0.25">
      <c r="A815" t="s">
        <v>180</v>
      </c>
    </row>
    <row r="816" spans="1:1" x14ac:dyDescent="0.25">
      <c r="A816" t="s">
        <v>353</v>
      </c>
    </row>
    <row r="818" spans="1:1" x14ac:dyDescent="0.25">
      <c r="A818" t="s">
        <v>354</v>
      </c>
    </row>
    <row r="819" spans="1:1" x14ac:dyDescent="0.25">
      <c r="A819" t="s">
        <v>355</v>
      </c>
    </row>
    <row r="820" spans="1:1" x14ac:dyDescent="0.25">
      <c r="A820" t="s">
        <v>356</v>
      </c>
    </row>
    <row r="821" spans="1:1" x14ac:dyDescent="0.25">
      <c r="A821" t="s">
        <v>17</v>
      </c>
    </row>
    <row r="822" spans="1:1" x14ac:dyDescent="0.25">
      <c r="A822" t="s">
        <v>16</v>
      </c>
    </row>
    <row r="823" spans="1:1" x14ac:dyDescent="0.25">
      <c r="A823" t="s">
        <v>166</v>
      </c>
    </row>
    <row r="825" spans="1:1" x14ac:dyDescent="0.25">
      <c r="A825" t="s">
        <v>115</v>
      </c>
    </row>
    <row r="826" spans="1:1" x14ac:dyDescent="0.25">
      <c r="A826" t="s">
        <v>357</v>
      </c>
    </row>
    <row r="828" spans="1:1" x14ac:dyDescent="0.25">
      <c r="A828" t="s">
        <v>358</v>
      </c>
    </row>
    <row r="829" spans="1:1" x14ac:dyDescent="0.25">
      <c r="A829" t="s">
        <v>359</v>
      </c>
    </row>
    <row r="830" spans="1:1" x14ac:dyDescent="0.25">
      <c r="A830" t="s">
        <v>360</v>
      </c>
    </row>
    <row r="831" spans="1:1" x14ac:dyDescent="0.25">
      <c r="A831" t="s">
        <v>361</v>
      </c>
    </row>
    <row r="832" spans="1:1" x14ac:dyDescent="0.25">
      <c r="A832" t="s">
        <v>362</v>
      </c>
    </row>
    <row r="833" spans="1:1" x14ac:dyDescent="0.25">
      <c r="A833" t="s">
        <v>363</v>
      </c>
    </row>
    <row r="834" spans="1:1" x14ac:dyDescent="0.25">
      <c r="A834" t="s">
        <v>174</v>
      </c>
    </row>
    <row r="835" spans="1:1" x14ac:dyDescent="0.25">
      <c r="A835" t="s">
        <v>175</v>
      </c>
    </row>
    <row r="836" spans="1:1" x14ac:dyDescent="0.25">
      <c r="A836" t="s">
        <v>176</v>
      </c>
    </row>
    <row r="837" spans="1:1" x14ac:dyDescent="0.25">
      <c r="A837" t="s">
        <v>177</v>
      </c>
    </row>
    <row r="838" spans="1:1" x14ac:dyDescent="0.25">
      <c r="A838" t="s">
        <v>178</v>
      </c>
    </row>
    <row r="839" spans="1:1" x14ac:dyDescent="0.25">
      <c r="A839" t="s">
        <v>179</v>
      </c>
    </row>
    <row r="840" spans="1:1" x14ac:dyDescent="0.25">
      <c r="A840" t="s">
        <v>180</v>
      </c>
    </row>
    <row r="841" spans="1:1" x14ac:dyDescent="0.25">
      <c r="A841" t="s">
        <v>364</v>
      </c>
    </row>
    <row r="842" spans="1:1" x14ac:dyDescent="0.25">
      <c r="A842" t="s">
        <v>17</v>
      </c>
    </row>
    <row r="843" spans="1:1" x14ac:dyDescent="0.25">
      <c r="A843" t="s">
        <v>16</v>
      </c>
    </row>
    <row r="844" spans="1:1" x14ac:dyDescent="0.25">
      <c r="A844" t="s">
        <v>166</v>
      </c>
    </row>
    <row r="846" spans="1:1" x14ac:dyDescent="0.25">
      <c r="A846" t="s">
        <v>115</v>
      </c>
    </row>
    <row r="847" spans="1:1" x14ac:dyDescent="0.25">
      <c r="A847" t="s">
        <v>365</v>
      </c>
    </row>
    <row r="849" spans="1:1" x14ac:dyDescent="0.25">
      <c r="A849" t="s">
        <v>366</v>
      </c>
    </row>
    <row r="850" spans="1:1" x14ac:dyDescent="0.25">
      <c r="A850" t="s">
        <v>367</v>
      </c>
    </row>
    <row r="851" spans="1:1" x14ac:dyDescent="0.25">
      <c r="A851" t="s">
        <v>368</v>
      </c>
    </row>
    <row r="852" spans="1:1" x14ac:dyDescent="0.25">
      <c r="A852" t="s">
        <v>369</v>
      </c>
    </row>
    <row r="853" spans="1:1" x14ac:dyDescent="0.25">
      <c r="A853" t="s">
        <v>370</v>
      </c>
    </row>
    <row r="854" spans="1:1" x14ac:dyDescent="0.25">
      <c r="A854" t="s">
        <v>371</v>
      </c>
    </row>
    <row r="855" spans="1:1" x14ac:dyDescent="0.25">
      <c r="A855" t="s">
        <v>174</v>
      </c>
    </row>
    <row r="856" spans="1:1" x14ac:dyDescent="0.25">
      <c r="A856" t="s">
        <v>175</v>
      </c>
    </row>
    <row r="857" spans="1:1" x14ac:dyDescent="0.25">
      <c r="A857" t="s">
        <v>176</v>
      </c>
    </row>
    <row r="858" spans="1:1" x14ac:dyDescent="0.25">
      <c r="A858" t="s">
        <v>177</v>
      </c>
    </row>
    <row r="859" spans="1:1" x14ac:dyDescent="0.25">
      <c r="A859" t="s">
        <v>178</v>
      </c>
    </row>
    <row r="860" spans="1:1" x14ac:dyDescent="0.25">
      <c r="A860" t="s">
        <v>179</v>
      </c>
    </row>
    <row r="861" spans="1:1" x14ac:dyDescent="0.25">
      <c r="A861" t="s">
        <v>180</v>
      </c>
    </row>
    <row r="862" spans="1:1" x14ac:dyDescent="0.25">
      <c r="A862" t="s">
        <v>372</v>
      </c>
    </row>
    <row r="863" spans="1:1" x14ac:dyDescent="0.25">
      <c r="A863" t="s">
        <v>17</v>
      </c>
    </row>
    <row r="864" spans="1:1" x14ac:dyDescent="0.25">
      <c r="A864" t="s">
        <v>16</v>
      </c>
    </row>
    <row r="865" spans="1:1" x14ac:dyDescent="0.25">
      <c r="A865" t="s">
        <v>166</v>
      </c>
    </row>
    <row r="867" spans="1:1" x14ac:dyDescent="0.25">
      <c r="A867" t="s">
        <v>115</v>
      </c>
    </row>
    <row r="868" spans="1:1" x14ac:dyDescent="0.25">
      <c r="A868" t="s">
        <v>180</v>
      </c>
    </row>
    <row r="869" spans="1:1" x14ac:dyDescent="0.25">
      <c r="A869" t="s">
        <v>373</v>
      </c>
    </row>
    <row r="870" spans="1:1" x14ac:dyDescent="0.25">
      <c r="A870" t="s">
        <v>17</v>
      </c>
    </row>
    <row r="871" spans="1:1" x14ac:dyDescent="0.25">
      <c r="A871" t="s">
        <v>16</v>
      </c>
    </row>
    <row r="872" spans="1:1" x14ac:dyDescent="0.25">
      <c r="A872" t="s">
        <v>166</v>
      </c>
    </row>
    <row r="874" spans="1:1" x14ac:dyDescent="0.25">
      <c r="A874" t="s">
        <v>115</v>
      </c>
    </row>
    <row r="875" spans="1:1" x14ac:dyDescent="0.25">
      <c r="A875" t="s">
        <v>180</v>
      </c>
    </row>
    <row r="876" spans="1:1" x14ac:dyDescent="0.25">
      <c r="A876" t="s">
        <v>374</v>
      </c>
    </row>
    <row r="877" spans="1:1" x14ac:dyDescent="0.25">
      <c r="A877" t="s">
        <v>17</v>
      </c>
    </row>
    <row r="878" spans="1:1" x14ac:dyDescent="0.25">
      <c r="A878" t="s">
        <v>16</v>
      </c>
    </row>
    <row r="879" spans="1:1" x14ac:dyDescent="0.25">
      <c r="A879" t="s">
        <v>166</v>
      </c>
    </row>
    <row r="881" spans="1:1" x14ac:dyDescent="0.25">
      <c r="A881" t="s">
        <v>115</v>
      </c>
    </row>
    <row r="882" spans="1:1" x14ac:dyDescent="0.25">
      <c r="A882" t="s">
        <v>180</v>
      </c>
    </row>
    <row r="883" spans="1:1" x14ac:dyDescent="0.25">
      <c r="A883" t="s">
        <v>375</v>
      </c>
    </row>
    <row r="884" spans="1:1" x14ac:dyDescent="0.25">
      <c r="A884" t="s">
        <v>122</v>
      </c>
    </row>
    <row r="886" spans="1:1" x14ac:dyDescent="0.25">
      <c r="A886" t="s">
        <v>376</v>
      </c>
    </row>
    <row r="888" spans="1:1" x14ac:dyDescent="0.25">
      <c r="A888" t="s">
        <v>377</v>
      </c>
    </row>
    <row r="889" spans="1:1" x14ac:dyDescent="0.25">
      <c r="A889" t="s">
        <v>378</v>
      </c>
    </row>
    <row r="890" spans="1:1" x14ac:dyDescent="0.25">
      <c r="A890" t="s">
        <v>141</v>
      </c>
    </row>
    <row r="891" spans="1:1" x14ac:dyDescent="0.25">
      <c r="A891" t="s">
        <v>379</v>
      </c>
    </row>
    <row r="892" spans="1:1" x14ac:dyDescent="0.25">
      <c r="A892" t="s">
        <v>127</v>
      </c>
    </row>
    <row r="893" spans="1:1" x14ac:dyDescent="0.25">
      <c r="A893" t="s">
        <v>380</v>
      </c>
    </row>
    <row r="894" spans="1:1" x14ac:dyDescent="0.25">
      <c r="A894" t="s">
        <v>381</v>
      </c>
    </row>
    <row r="895" spans="1:1" x14ac:dyDescent="0.25">
      <c r="A895" t="s">
        <v>127</v>
      </c>
    </row>
    <row r="896" spans="1:1" x14ac:dyDescent="0.25">
      <c r="A896" t="s">
        <v>382</v>
      </c>
    </row>
    <row r="897" spans="1:1" x14ac:dyDescent="0.25">
      <c r="A897" t="s">
        <v>383</v>
      </c>
    </row>
    <row r="898" spans="1:1" x14ac:dyDescent="0.25">
      <c r="A898" t="s">
        <v>384</v>
      </c>
    </row>
    <row r="899" spans="1:1" x14ac:dyDescent="0.25">
      <c r="A899" t="s">
        <v>385</v>
      </c>
    </row>
    <row r="900" spans="1:1" x14ac:dyDescent="0.25">
      <c r="A900" t="s">
        <v>127</v>
      </c>
    </row>
    <row r="901" spans="1:1" x14ac:dyDescent="0.25">
      <c r="A901" t="s">
        <v>386</v>
      </c>
    </row>
    <row r="902" spans="1:1" x14ac:dyDescent="0.25">
      <c r="A902" t="s">
        <v>387</v>
      </c>
    </row>
    <row r="903" spans="1:1" x14ac:dyDescent="0.25">
      <c r="A903" t="s">
        <v>388</v>
      </c>
    </row>
    <row r="904" spans="1:1" x14ac:dyDescent="0.25">
      <c r="A904" t="s">
        <v>389</v>
      </c>
    </row>
    <row r="905" spans="1:1" x14ac:dyDescent="0.25">
      <c r="A905" t="s">
        <v>17</v>
      </c>
    </row>
    <row r="906" spans="1:1" x14ac:dyDescent="0.25">
      <c r="A906" t="s">
        <v>16</v>
      </c>
    </row>
    <row r="907" spans="1:1" x14ac:dyDescent="0.25">
      <c r="A907" t="s">
        <v>166</v>
      </c>
    </row>
    <row r="909" spans="1:1" x14ac:dyDescent="0.25">
      <c r="A909" t="s">
        <v>115</v>
      </c>
    </row>
    <row r="910" spans="1:1" x14ac:dyDescent="0.25">
      <c r="A910" t="s">
        <v>390</v>
      </c>
    </row>
    <row r="912" spans="1:1" x14ac:dyDescent="0.25">
      <c r="A912" t="s">
        <v>391</v>
      </c>
    </row>
    <row r="913" spans="1:1" x14ac:dyDescent="0.25">
      <c r="A913" t="s">
        <v>392</v>
      </c>
    </row>
    <row r="914" spans="1:1" x14ac:dyDescent="0.25">
      <c r="A914" t="s">
        <v>393</v>
      </c>
    </row>
    <row r="915" spans="1:1" x14ac:dyDescent="0.25">
      <c r="A915" t="s">
        <v>394</v>
      </c>
    </row>
    <row r="916" spans="1:1" x14ac:dyDescent="0.25">
      <c r="A916" t="s">
        <v>395</v>
      </c>
    </row>
    <row r="917" spans="1:1" x14ac:dyDescent="0.25">
      <c r="A917" t="s">
        <v>396</v>
      </c>
    </row>
    <row r="918" spans="1:1" x14ac:dyDescent="0.25">
      <c r="A918" t="s">
        <v>174</v>
      </c>
    </row>
    <row r="919" spans="1:1" x14ac:dyDescent="0.25">
      <c r="A919" t="s">
        <v>175</v>
      </c>
    </row>
    <row r="920" spans="1:1" x14ac:dyDescent="0.25">
      <c r="A920" t="s">
        <v>176</v>
      </c>
    </row>
    <row r="921" spans="1:1" x14ac:dyDescent="0.25">
      <c r="A921" t="s">
        <v>177</v>
      </c>
    </row>
    <row r="922" spans="1:1" x14ac:dyDescent="0.25">
      <c r="A922" t="s">
        <v>178</v>
      </c>
    </row>
    <row r="923" spans="1:1" x14ac:dyDescent="0.25">
      <c r="A923" t="s">
        <v>179</v>
      </c>
    </row>
    <row r="924" spans="1:1" x14ac:dyDescent="0.25">
      <c r="A924" t="s">
        <v>180</v>
      </c>
    </row>
    <row r="925" spans="1:1" x14ac:dyDescent="0.25">
      <c r="A925" t="s">
        <v>397</v>
      </c>
    </row>
    <row r="926" spans="1:1" x14ac:dyDescent="0.25">
      <c r="A926" t="s">
        <v>17</v>
      </c>
    </row>
    <row r="927" spans="1:1" x14ac:dyDescent="0.25">
      <c r="A927" t="s">
        <v>16</v>
      </c>
    </row>
    <row r="928" spans="1:1" x14ac:dyDescent="0.25">
      <c r="A928" t="s">
        <v>166</v>
      </c>
    </row>
    <row r="930" spans="1:1" x14ac:dyDescent="0.25">
      <c r="A930" t="s">
        <v>115</v>
      </c>
    </row>
    <row r="931" spans="1:1" x14ac:dyDescent="0.25">
      <c r="A931" t="s">
        <v>398</v>
      </c>
    </row>
    <row r="933" spans="1:1" x14ac:dyDescent="0.25">
      <c r="A933" t="s">
        <v>399</v>
      </c>
    </row>
    <row r="934" spans="1:1" x14ac:dyDescent="0.25">
      <c r="A934" t="s">
        <v>400</v>
      </c>
    </row>
    <row r="935" spans="1:1" x14ac:dyDescent="0.25">
      <c r="A935" t="s">
        <v>401</v>
      </c>
    </row>
    <row r="936" spans="1:1" x14ac:dyDescent="0.25">
      <c r="A936" t="s">
        <v>402</v>
      </c>
    </row>
    <row r="937" spans="1:1" x14ac:dyDescent="0.25">
      <c r="A937" t="s">
        <v>403</v>
      </c>
    </row>
    <row r="938" spans="1:1" x14ac:dyDescent="0.25">
      <c r="A938" t="s">
        <v>404</v>
      </c>
    </row>
    <row r="939" spans="1:1" x14ac:dyDescent="0.25">
      <c r="A939" t="s">
        <v>174</v>
      </c>
    </row>
    <row r="940" spans="1:1" x14ac:dyDescent="0.25">
      <c r="A940" t="s">
        <v>175</v>
      </c>
    </row>
    <row r="941" spans="1:1" x14ac:dyDescent="0.25">
      <c r="A941" t="s">
        <v>176</v>
      </c>
    </row>
    <row r="942" spans="1:1" x14ac:dyDescent="0.25">
      <c r="A942" t="s">
        <v>177</v>
      </c>
    </row>
    <row r="943" spans="1:1" x14ac:dyDescent="0.25">
      <c r="A943" t="s">
        <v>178</v>
      </c>
    </row>
    <row r="944" spans="1:1" x14ac:dyDescent="0.25">
      <c r="A944" t="s">
        <v>179</v>
      </c>
    </row>
    <row r="945" spans="1:1" x14ac:dyDescent="0.25">
      <c r="A945" t="s">
        <v>180</v>
      </c>
    </row>
    <row r="946" spans="1:1" x14ac:dyDescent="0.25">
      <c r="A946" t="s">
        <v>405</v>
      </c>
    </row>
    <row r="947" spans="1:1" x14ac:dyDescent="0.25">
      <c r="A947" t="s">
        <v>17</v>
      </c>
    </row>
    <row r="948" spans="1:1" x14ac:dyDescent="0.25">
      <c r="A948" t="s">
        <v>16</v>
      </c>
    </row>
    <row r="949" spans="1:1" x14ac:dyDescent="0.25">
      <c r="A949" t="s">
        <v>166</v>
      </c>
    </row>
    <row r="951" spans="1:1" x14ac:dyDescent="0.25">
      <c r="A951" t="s">
        <v>115</v>
      </c>
    </row>
    <row r="952" spans="1:1" x14ac:dyDescent="0.25">
      <c r="A952" t="s">
        <v>406</v>
      </c>
    </row>
    <row r="954" spans="1:1" x14ac:dyDescent="0.25">
      <c r="A954" t="s">
        <v>407</v>
      </c>
    </row>
    <row r="955" spans="1:1" x14ac:dyDescent="0.25">
      <c r="A955" t="s">
        <v>408</v>
      </c>
    </row>
    <row r="956" spans="1:1" x14ac:dyDescent="0.25">
      <c r="A956" t="s">
        <v>409</v>
      </c>
    </row>
    <row r="957" spans="1:1" x14ac:dyDescent="0.25">
      <c r="A957" t="s">
        <v>410</v>
      </c>
    </row>
    <row r="958" spans="1:1" x14ac:dyDescent="0.25">
      <c r="A958" t="s">
        <v>411</v>
      </c>
    </row>
    <row r="959" spans="1:1" x14ac:dyDescent="0.25">
      <c r="A959" t="s">
        <v>412</v>
      </c>
    </row>
    <row r="960" spans="1:1" x14ac:dyDescent="0.25">
      <c r="A960" t="s">
        <v>174</v>
      </c>
    </row>
    <row r="961" spans="1:1" x14ac:dyDescent="0.25">
      <c r="A961" t="s">
        <v>175</v>
      </c>
    </row>
    <row r="962" spans="1:1" x14ac:dyDescent="0.25">
      <c r="A962" t="s">
        <v>176</v>
      </c>
    </row>
    <row r="963" spans="1:1" x14ac:dyDescent="0.25">
      <c r="A963" t="s">
        <v>177</v>
      </c>
    </row>
    <row r="964" spans="1:1" x14ac:dyDescent="0.25">
      <c r="A964" t="s">
        <v>178</v>
      </c>
    </row>
    <row r="965" spans="1:1" x14ac:dyDescent="0.25">
      <c r="A965" t="s">
        <v>179</v>
      </c>
    </row>
    <row r="966" spans="1:1" x14ac:dyDescent="0.25">
      <c r="A966" t="s">
        <v>180</v>
      </c>
    </row>
    <row r="967" spans="1:1" x14ac:dyDescent="0.25">
      <c r="A967" t="s">
        <v>413</v>
      </c>
    </row>
    <row r="968" spans="1:1" x14ac:dyDescent="0.25">
      <c r="A968" t="s">
        <v>17</v>
      </c>
    </row>
    <row r="969" spans="1:1" x14ac:dyDescent="0.25">
      <c r="A969" t="s">
        <v>16</v>
      </c>
    </row>
    <row r="970" spans="1:1" x14ac:dyDescent="0.25">
      <c r="A970" t="s">
        <v>166</v>
      </c>
    </row>
    <row r="972" spans="1:1" x14ac:dyDescent="0.25">
      <c r="A972" t="s">
        <v>115</v>
      </c>
    </row>
    <row r="973" spans="1:1" x14ac:dyDescent="0.25">
      <c r="A973" t="s">
        <v>180</v>
      </c>
    </row>
    <row r="974" spans="1:1" x14ac:dyDescent="0.25">
      <c r="A974" t="s">
        <v>414</v>
      </c>
    </row>
    <row r="975" spans="1:1" x14ac:dyDescent="0.25">
      <c r="A975" t="s">
        <v>17</v>
      </c>
    </row>
    <row r="976" spans="1:1" x14ac:dyDescent="0.25">
      <c r="A976" t="s">
        <v>16</v>
      </c>
    </row>
    <row r="977" spans="1:1" x14ac:dyDescent="0.25">
      <c r="A977" t="s">
        <v>166</v>
      </c>
    </row>
    <row r="979" spans="1:1" x14ac:dyDescent="0.25">
      <c r="A979" t="s">
        <v>115</v>
      </c>
    </row>
    <row r="980" spans="1:1" x14ac:dyDescent="0.25">
      <c r="A980" t="s">
        <v>415</v>
      </c>
    </row>
    <row r="982" spans="1:1" x14ac:dyDescent="0.25">
      <c r="A982" t="s">
        <v>416</v>
      </c>
    </row>
    <row r="983" spans="1:1" x14ac:dyDescent="0.25">
      <c r="A983" t="s">
        <v>417</v>
      </c>
    </row>
    <row r="984" spans="1:1" x14ac:dyDescent="0.25">
      <c r="A984" t="s">
        <v>418</v>
      </c>
    </row>
    <row r="985" spans="1:1" x14ac:dyDescent="0.25">
      <c r="A985" t="s">
        <v>419</v>
      </c>
    </row>
    <row r="986" spans="1:1" x14ac:dyDescent="0.25">
      <c r="A986" t="s">
        <v>420</v>
      </c>
    </row>
    <row r="987" spans="1:1" x14ac:dyDescent="0.25">
      <c r="A987" t="s">
        <v>421</v>
      </c>
    </row>
    <row r="988" spans="1:1" x14ac:dyDescent="0.25">
      <c r="A988" t="s">
        <v>174</v>
      </c>
    </row>
    <row r="989" spans="1:1" x14ac:dyDescent="0.25">
      <c r="A989" t="s">
        <v>175</v>
      </c>
    </row>
    <row r="990" spans="1:1" x14ac:dyDescent="0.25">
      <c r="A990" t="s">
        <v>176</v>
      </c>
    </row>
    <row r="991" spans="1:1" x14ac:dyDescent="0.25">
      <c r="A991" t="s">
        <v>177</v>
      </c>
    </row>
    <row r="992" spans="1:1" x14ac:dyDescent="0.25">
      <c r="A992" t="s">
        <v>178</v>
      </c>
    </row>
    <row r="993" spans="1:1" x14ac:dyDescent="0.25">
      <c r="A993" t="s">
        <v>179</v>
      </c>
    </row>
    <row r="994" spans="1:1" x14ac:dyDescent="0.25">
      <c r="A994" t="s">
        <v>180</v>
      </c>
    </row>
    <row r="995" spans="1:1" x14ac:dyDescent="0.25">
      <c r="A995" t="s">
        <v>422</v>
      </c>
    </row>
    <row r="996" spans="1:1" x14ac:dyDescent="0.25">
      <c r="A996" t="s">
        <v>17</v>
      </c>
    </row>
    <row r="997" spans="1:1" x14ac:dyDescent="0.25">
      <c r="A997" t="s">
        <v>16</v>
      </c>
    </row>
    <row r="998" spans="1:1" x14ac:dyDescent="0.25">
      <c r="A998" t="s">
        <v>166</v>
      </c>
    </row>
    <row r="1000" spans="1:1" x14ac:dyDescent="0.25">
      <c r="A1000" t="s">
        <v>115</v>
      </c>
    </row>
    <row r="1001" spans="1:1" x14ac:dyDescent="0.25">
      <c r="A1001" t="s">
        <v>423</v>
      </c>
    </row>
    <row r="1003" spans="1:1" x14ac:dyDescent="0.25">
      <c r="A1003" t="s">
        <v>424</v>
      </c>
    </row>
    <row r="1004" spans="1:1" x14ac:dyDescent="0.25">
      <c r="A1004" t="s">
        <v>425</v>
      </c>
    </row>
    <row r="1005" spans="1:1" x14ac:dyDescent="0.25">
      <c r="A1005" t="s">
        <v>426</v>
      </c>
    </row>
    <row r="1006" spans="1:1" x14ac:dyDescent="0.25">
      <c r="A1006" t="s">
        <v>427</v>
      </c>
    </row>
    <row r="1007" spans="1:1" x14ac:dyDescent="0.25">
      <c r="A1007" t="s">
        <v>428</v>
      </c>
    </row>
    <row r="1008" spans="1:1" x14ac:dyDescent="0.25">
      <c r="A1008" t="s">
        <v>429</v>
      </c>
    </row>
    <row r="1009" spans="1:1" x14ac:dyDescent="0.25">
      <c r="A1009" t="s">
        <v>174</v>
      </c>
    </row>
    <row r="1010" spans="1:1" x14ac:dyDescent="0.25">
      <c r="A1010" t="s">
        <v>175</v>
      </c>
    </row>
    <row r="1011" spans="1:1" x14ac:dyDescent="0.25">
      <c r="A1011" t="s">
        <v>176</v>
      </c>
    </row>
    <row r="1012" spans="1:1" x14ac:dyDescent="0.25">
      <c r="A1012" t="s">
        <v>177</v>
      </c>
    </row>
    <row r="1013" spans="1:1" x14ac:dyDescent="0.25">
      <c r="A1013" t="s">
        <v>178</v>
      </c>
    </row>
    <row r="1014" spans="1:1" x14ac:dyDescent="0.25">
      <c r="A1014" t="s">
        <v>179</v>
      </c>
    </row>
    <row r="1015" spans="1:1" x14ac:dyDescent="0.25">
      <c r="A1015" t="s">
        <v>180</v>
      </c>
    </row>
    <row r="1016" spans="1:1" x14ac:dyDescent="0.25">
      <c r="A1016" t="s">
        <v>430</v>
      </c>
    </row>
    <row r="1017" spans="1:1" x14ac:dyDescent="0.25">
      <c r="A1017" t="s">
        <v>17</v>
      </c>
    </row>
    <row r="1018" spans="1:1" x14ac:dyDescent="0.25">
      <c r="A1018" t="s">
        <v>16</v>
      </c>
    </row>
    <row r="1019" spans="1:1" x14ac:dyDescent="0.25">
      <c r="A1019" t="s">
        <v>166</v>
      </c>
    </row>
    <row r="1021" spans="1:1" x14ac:dyDescent="0.25">
      <c r="A1021" t="s">
        <v>115</v>
      </c>
    </row>
    <row r="1022" spans="1:1" x14ac:dyDescent="0.25">
      <c r="A1022" t="s">
        <v>180</v>
      </c>
    </row>
    <row r="1023" spans="1:1" x14ac:dyDescent="0.25">
      <c r="A1023" t="s">
        <v>431</v>
      </c>
    </row>
    <row r="1024" spans="1:1" x14ac:dyDescent="0.25">
      <c r="A1024" t="s">
        <v>17</v>
      </c>
    </row>
    <row r="1025" spans="1:1" x14ac:dyDescent="0.25">
      <c r="A1025" t="s">
        <v>16</v>
      </c>
    </row>
    <row r="1026" spans="1:1" x14ac:dyDescent="0.25">
      <c r="A1026" t="s">
        <v>166</v>
      </c>
    </row>
    <row r="1028" spans="1:1" x14ac:dyDescent="0.25">
      <c r="A1028" t="s">
        <v>115</v>
      </c>
    </row>
    <row r="1029" spans="1:1" x14ac:dyDescent="0.25">
      <c r="A1029" t="s">
        <v>432</v>
      </c>
    </row>
    <row r="1031" spans="1:1" x14ac:dyDescent="0.25">
      <c r="A1031" t="s">
        <v>433</v>
      </c>
    </row>
    <row r="1032" spans="1:1" x14ac:dyDescent="0.25">
      <c r="A1032" t="s">
        <v>434</v>
      </c>
    </row>
    <row r="1033" spans="1:1" x14ac:dyDescent="0.25">
      <c r="A1033" t="s">
        <v>435</v>
      </c>
    </row>
    <row r="1034" spans="1:1" x14ac:dyDescent="0.25">
      <c r="A1034" t="s">
        <v>436</v>
      </c>
    </row>
    <row r="1035" spans="1:1" x14ac:dyDescent="0.25">
      <c r="A1035" t="s">
        <v>437</v>
      </c>
    </row>
    <row r="1036" spans="1:1" x14ac:dyDescent="0.25">
      <c r="A1036" t="s">
        <v>438</v>
      </c>
    </row>
    <row r="1037" spans="1:1" x14ac:dyDescent="0.25">
      <c r="A1037" t="s">
        <v>174</v>
      </c>
    </row>
    <row r="1038" spans="1:1" x14ac:dyDescent="0.25">
      <c r="A1038" t="s">
        <v>175</v>
      </c>
    </row>
    <row r="1039" spans="1:1" x14ac:dyDescent="0.25">
      <c r="A1039" t="s">
        <v>176</v>
      </c>
    </row>
    <row r="1040" spans="1:1" x14ac:dyDescent="0.25">
      <c r="A1040" t="s">
        <v>177</v>
      </c>
    </row>
    <row r="1041" spans="1:1" x14ac:dyDescent="0.25">
      <c r="A1041" t="s">
        <v>178</v>
      </c>
    </row>
    <row r="1042" spans="1:1" x14ac:dyDescent="0.25">
      <c r="A1042" t="s">
        <v>179</v>
      </c>
    </row>
    <row r="1043" spans="1:1" x14ac:dyDescent="0.25">
      <c r="A1043" t="s">
        <v>180</v>
      </c>
    </row>
    <row r="1044" spans="1:1" x14ac:dyDescent="0.25">
      <c r="A1044" t="s">
        <v>439</v>
      </c>
    </row>
    <row r="1045" spans="1:1" x14ac:dyDescent="0.25">
      <c r="A1045" t="s">
        <v>17</v>
      </c>
    </row>
    <row r="1046" spans="1:1" x14ac:dyDescent="0.25">
      <c r="A1046" t="s">
        <v>16</v>
      </c>
    </row>
    <row r="1047" spans="1:1" x14ac:dyDescent="0.25">
      <c r="A1047" t="s">
        <v>166</v>
      </c>
    </row>
    <row r="1049" spans="1:1" x14ac:dyDescent="0.25">
      <c r="A1049" t="s">
        <v>115</v>
      </c>
    </row>
    <row r="1050" spans="1:1" x14ac:dyDescent="0.25">
      <c r="A1050" t="s">
        <v>440</v>
      </c>
    </row>
    <row r="1052" spans="1:1" x14ac:dyDescent="0.25">
      <c r="A1052" t="s">
        <v>441</v>
      </c>
    </row>
    <row r="1053" spans="1:1" x14ac:dyDescent="0.25">
      <c r="A1053" t="s">
        <v>442</v>
      </c>
    </row>
    <row r="1054" spans="1:1" x14ac:dyDescent="0.25">
      <c r="A1054" t="s">
        <v>443</v>
      </c>
    </row>
    <row r="1055" spans="1:1" x14ac:dyDescent="0.25">
      <c r="A1055" t="s">
        <v>444</v>
      </c>
    </row>
    <row r="1056" spans="1:1" x14ac:dyDescent="0.25">
      <c r="A1056" t="s">
        <v>445</v>
      </c>
    </row>
    <row r="1057" spans="1:1" x14ac:dyDescent="0.25">
      <c r="A1057" t="s">
        <v>446</v>
      </c>
    </row>
    <row r="1058" spans="1:1" x14ac:dyDescent="0.25">
      <c r="A1058" t="s">
        <v>174</v>
      </c>
    </row>
    <row r="1059" spans="1:1" x14ac:dyDescent="0.25">
      <c r="A1059" t="s">
        <v>175</v>
      </c>
    </row>
    <row r="1060" spans="1:1" x14ac:dyDescent="0.25">
      <c r="A1060" t="s">
        <v>176</v>
      </c>
    </row>
    <row r="1061" spans="1:1" x14ac:dyDescent="0.25">
      <c r="A1061" t="s">
        <v>177</v>
      </c>
    </row>
    <row r="1062" spans="1:1" x14ac:dyDescent="0.25">
      <c r="A1062" t="s">
        <v>178</v>
      </c>
    </row>
    <row r="1063" spans="1:1" x14ac:dyDescent="0.25">
      <c r="A1063" t="s">
        <v>179</v>
      </c>
    </row>
    <row r="1064" spans="1:1" x14ac:dyDescent="0.25">
      <c r="A1064" t="s">
        <v>180</v>
      </c>
    </row>
    <row r="1065" spans="1:1" x14ac:dyDescent="0.25">
      <c r="A1065" t="s">
        <v>447</v>
      </c>
    </row>
    <row r="1066" spans="1:1" x14ac:dyDescent="0.25">
      <c r="A1066" t="s">
        <v>17</v>
      </c>
    </row>
    <row r="1067" spans="1:1" x14ac:dyDescent="0.25">
      <c r="A1067" t="s">
        <v>16</v>
      </c>
    </row>
    <row r="1068" spans="1:1" x14ac:dyDescent="0.25">
      <c r="A1068" t="s">
        <v>166</v>
      </c>
    </row>
    <row r="1070" spans="1:1" x14ac:dyDescent="0.25">
      <c r="A1070" t="s">
        <v>115</v>
      </c>
    </row>
    <row r="1071" spans="1:1" x14ac:dyDescent="0.25">
      <c r="A1071" t="s">
        <v>180</v>
      </c>
    </row>
    <row r="1072" spans="1:1" x14ac:dyDescent="0.25">
      <c r="A1072" t="s">
        <v>448</v>
      </c>
    </row>
    <row r="1073" spans="1:1" x14ac:dyDescent="0.25">
      <c r="A1073" t="s">
        <v>17</v>
      </c>
    </row>
    <row r="1074" spans="1:1" x14ac:dyDescent="0.25">
      <c r="A1074" t="s">
        <v>16</v>
      </c>
    </row>
    <row r="1075" spans="1:1" x14ac:dyDescent="0.25">
      <c r="A1075" t="s">
        <v>166</v>
      </c>
    </row>
    <row r="1077" spans="1:1" x14ac:dyDescent="0.25">
      <c r="A1077" t="s">
        <v>115</v>
      </c>
    </row>
    <row r="1078" spans="1:1" x14ac:dyDescent="0.25">
      <c r="A1078" t="s">
        <v>180</v>
      </c>
    </row>
    <row r="1079" spans="1:1" x14ac:dyDescent="0.25">
      <c r="A1079" t="s">
        <v>449</v>
      </c>
    </row>
    <row r="1080" spans="1:1" x14ac:dyDescent="0.25">
      <c r="A1080" t="s">
        <v>17</v>
      </c>
    </row>
    <row r="1081" spans="1:1" x14ac:dyDescent="0.25">
      <c r="A1081" t="s">
        <v>16</v>
      </c>
    </row>
    <row r="1082" spans="1:1" x14ac:dyDescent="0.25">
      <c r="A1082" t="s">
        <v>166</v>
      </c>
    </row>
    <row r="1084" spans="1:1" x14ac:dyDescent="0.25">
      <c r="A1084" t="s">
        <v>115</v>
      </c>
    </row>
    <row r="1085" spans="1:1" x14ac:dyDescent="0.25">
      <c r="A1085" t="s">
        <v>180</v>
      </c>
    </row>
    <row r="1086" spans="1:1" x14ac:dyDescent="0.25">
      <c r="A1086" t="s">
        <v>450</v>
      </c>
    </row>
    <row r="1087" spans="1:1" x14ac:dyDescent="0.25">
      <c r="A1087" t="s">
        <v>17</v>
      </c>
    </row>
    <row r="1088" spans="1:1" x14ac:dyDescent="0.25">
      <c r="A1088" t="s">
        <v>16</v>
      </c>
    </row>
    <row r="1089" spans="1:1" x14ac:dyDescent="0.25">
      <c r="A1089" t="s">
        <v>166</v>
      </c>
    </row>
    <row r="1091" spans="1:1" x14ac:dyDescent="0.25">
      <c r="A1091" t="s">
        <v>115</v>
      </c>
    </row>
    <row r="1092" spans="1:1" x14ac:dyDescent="0.25">
      <c r="A1092" t="s">
        <v>180</v>
      </c>
    </row>
    <row r="1093" spans="1:1" x14ac:dyDescent="0.25">
      <c r="A1093" t="s">
        <v>451</v>
      </c>
    </row>
    <row r="1094" spans="1:1" x14ac:dyDescent="0.25">
      <c r="A1094" t="s">
        <v>123</v>
      </c>
    </row>
    <row r="1096" spans="1:1" x14ac:dyDescent="0.25">
      <c r="A1096" t="s">
        <v>452</v>
      </c>
    </row>
    <row r="1098" spans="1:1" x14ac:dyDescent="0.25">
      <c r="A1098" t="s">
        <v>453</v>
      </c>
    </row>
    <row r="1099" spans="1:1" x14ac:dyDescent="0.25">
      <c r="A1099" t="s">
        <v>129</v>
      </c>
    </row>
    <row r="1100" spans="1:1" x14ac:dyDescent="0.25">
      <c r="A1100" t="s">
        <v>454</v>
      </c>
    </row>
    <row r="1101" spans="1:1" x14ac:dyDescent="0.25">
      <c r="A1101" t="s">
        <v>129</v>
      </c>
    </row>
    <row r="1102" spans="1:1" x14ac:dyDescent="0.25">
      <c r="A1102" t="s">
        <v>455</v>
      </c>
    </row>
    <row r="1103" spans="1:1" x14ac:dyDescent="0.25">
      <c r="A1103" t="s">
        <v>129</v>
      </c>
    </row>
    <row r="1104" spans="1:1" x14ac:dyDescent="0.25">
      <c r="A1104" t="s">
        <v>456</v>
      </c>
    </row>
    <row r="1105" spans="1:1" x14ac:dyDescent="0.25">
      <c r="A1105" t="s">
        <v>129</v>
      </c>
    </row>
    <row r="1106" spans="1:1" x14ac:dyDescent="0.25">
      <c r="A1106" t="s">
        <v>17</v>
      </c>
    </row>
    <row r="1107" spans="1:1" x14ac:dyDescent="0.25">
      <c r="A1107" t="s">
        <v>16</v>
      </c>
    </row>
    <row r="1108" spans="1:1" x14ac:dyDescent="0.25">
      <c r="A1108" t="s">
        <v>166</v>
      </c>
    </row>
    <row r="1110" spans="1:1" x14ac:dyDescent="0.25">
      <c r="A1110" t="s">
        <v>115</v>
      </c>
    </row>
    <row r="1111" spans="1:1" x14ac:dyDescent="0.25">
      <c r="A1111" t="s">
        <v>457</v>
      </c>
    </row>
    <row r="1113" spans="1:1" x14ac:dyDescent="0.25">
      <c r="A1113" t="s">
        <v>458</v>
      </c>
    </row>
    <row r="1114" spans="1:1" x14ac:dyDescent="0.25">
      <c r="A1114" t="s">
        <v>459</v>
      </c>
    </row>
    <row r="1115" spans="1:1" x14ac:dyDescent="0.25">
      <c r="A1115" t="s">
        <v>460</v>
      </c>
    </row>
    <row r="1116" spans="1:1" x14ac:dyDescent="0.25">
      <c r="A1116" t="s">
        <v>461</v>
      </c>
    </row>
    <row r="1117" spans="1:1" x14ac:dyDescent="0.25">
      <c r="A1117" t="s">
        <v>462</v>
      </c>
    </row>
    <row r="1118" spans="1:1" x14ac:dyDescent="0.25">
      <c r="A1118" t="s">
        <v>463</v>
      </c>
    </row>
    <row r="1119" spans="1:1" x14ac:dyDescent="0.25">
      <c r="A1119" t="s">
        <v>174</v>
      </c>
    </row>
    <row r="1120" spans="1:1" x14ac:dyDescent="0.25">
      <c r="A1120" t="s">
        <v>175</v>
      </c>
    </row>
    <row r="1121" spans="1:1" x14ac:dyDescent="0.25">
      <c r="A1121" t="s">
        <v>176</v>
      </c>
    </row>
    <row r="1122" spans="1:1" x14ac:dyDescent="0.25">
      <c r="A1122" t="s">
        <v>177</v>
      </c>
    </row>
    <row r="1123" spans="1:1" x14ac:dyDescent="0.25">
      <c r="A1123" t="s">
        <v>178</v>
      </c>
    </row>
    <row r="1124" spans="1:1" x14ac:dyDescent="0.25">
      <c r="A1124" t="s">
        <v>179</v>
      </c>
    </row>
    <row r="1125" spans="1:1" x14ac:dyDescent="0.25">
      <c r="A1125" t="s">
        <v>180</v>
      </c>
    </row>
    <row r="1126" spans="1:1" x14ac:dyDescent="0.25">
      <c r="A1126" t="s">
        <v>464</v>
      </c>
    </row>
    <row r="1127" spans="1:1" x14ac:dyDescent="0.25">
      <c r="A1127" t="s">
        <v>17</v>
      </c>
    </row>
    <row r="1128" spans="1:1" x14ac:dyDescent="0.25">
      <c r="A1128" t="s">
        <v>16</v>
      </c>
    </row>
    <row r="1129" spans="1:1" x14ac:dyDescent="0.25">
      <c r="A1129" t="s">
        <v>166</v>
      </c>
    </row>
    <row r="1131" spans="1:1" x14ac:dyDescent="0.25">
      <c r="A1131" t="s">
        <v>115</v>
      </c>
    </row>
    <row r="1132" spans="1:1" x14ac:dyDescent="0.25">
      <c r="A1132" t="s">
        <v>465</v>
      </c>
    </row>
    <row r="1134" spans="1:1" x14ac:dyDescent="0.25">
      <c r="A1134" t="s">
        <v>466</v>
      </c>
    </row>
    <row r="1135" spans="1:1" x14ac:dyDescent="0.25">
      <c r="A1135" t="s">
        <v>467</v>
      </c>
    </row>
    <row r="1136" spans="1:1" x14ac:dyDescent="0.25">
      <c r="A1136" t="s">
        <v>468</v>
      </c>
    </row>
    <row r="1137" spans="1:1" x14ac:dyDescent="0.25">
      <c r="A1137" t="s">
        <v>469</v>
      </c>
    </row>
    <row r="1138" spans="1:1" x14ac:dyDescent="0.25">
      <c r="A1138" t="s">
        <v>470</v>
      </c>
    </row>
    <row r="1139" spans="1:1" x14ac:dyDescent="0.25">
      <c r="A1139" t="s">
        <v>471</v>
      </c>
    </row>
    <row r="1140" spans="1:1" x14ac:dyDescent="0.25">
      <c r="A1140" t="s">
        <v>174</v>
      </c>
    </row>
    <row r="1141" spans="1:1" x14ac:dyDescent="0.25">
      <c r="A1141" t="s">
        <v>175</v>
      </c>
    </row>
    <row r="1142" spans="1:1" x14ac:dyDescent="0.25">
      <c r="A1142" t="s">
        <v>176</v>
      </c>
    </row>
    <row r="1143" spans="1:1" x14ac:dyDescent="0.25">
      <c r="A1143" t="s">
        <v>177</v>
      </c>
    </row>
    <row r="1144" spans="1:1" x14ac:dyDescent="0.25">
      <c r="A1144" t="s">
        <v>178</v>
      </c>
    </row>
    <row r="1145" spans="1:1" x14ac:dyDescent="0.25">
      <c r="A1145" t="s">
        <v>179</v>
      </c>
    </row>
    <row r="1146" spans="1:1" x14ac:dyDescent="0.25">
      <c r="A1146" t="s">
        <v>180</v>
      </c>
    </row>
    <row r="1147" spans="1:1" x14ac:dyDescent="0.25">
      <c r="A1147" t="s">
        <v>472</v>
      </c>
    </row>
    <row r="1148" spans="1:1" x14ac:dyDescent="0.25">
      <c r="A1148" t="s">
        <v>17</v>
      </c>
    </row>
    <row r="1149" spans="1:1" x14ac:dyDescent="0.25">
      <c r="A1149" t="s">
        <v>16</v>
      </c>
    </row>
    <row r="1150" spans="1:1" x14ac:dyDescent="0.25">
      <c r="A1150" t="s">
        <v>166</v>
      </c>
    </row>
    <row r="1152" spans="1:1" x14ac:dyDescent="0.25">
      <c r="A1152" t="s">
        <v>115</v>
      </c>
    </row>
    <row r="1153" spans="1:1" x14ac:dyDescent="0.25">
      <c r="A1153" t="s">
        <v>473</v>
      </c>
    </row>
    <row r="1155" spans="1:1" x14ac:dyDescent="0.25">
      <c r="A1155" t="s">
        <v>474</v>
      </c>
    </row>
    <row r="1156" spans="1:1" x14ac:dyDescent="0.25">
      <c r="A1156" t="s">
        <v>475</v>
      </c>
    </row>
    <row r="1157" spans="1:1" x14ac:dyDescent="0.25">
      <c r="A1157" t="s">
        <v>476</v>
      </c>
    </row>
    <row r="1158" spans="1:1" x14ac:dyDescent="0.25">
      <c r="A1158" t="s">
        <v>477</v>
      </c>
    </row>
    <row r="1159" spans="1:1" x14ac:dyDescent="0.25">
      <c r="A1159" t="s">
        <v>478</v>
      </c>
    </row>
    <row r="1160" spans="1:1" x14ac:dyDescent="0.25">
      <c r="A1160" t="s">
        <v>479</v>
      </c>
    </row>
    <row r="1161" spans="1:1" x14ac:dyDescent="0.25">
      <c r="A1161" t="s">
        <v>174</v>
      </c>
    </row>
    <row r="1162" spans="1:1" x14ac:dyDescent="0.25">
      <c r="A1162" t="s">
        <v>175</v>
      </c>
    </row>
    <row r="1163" spans="1:1" x14ac:dyDescent="0.25">
      <c r="A1163" t="s">
        <v>176</v>
      </c>
    </row>
    <row r="1164" spans="1:1" x14ac:dyDescent="0.25">
      <c r="A1164" t="s">
        <v>177</v>
      </c>
    </row>
    <row r="1165" spans="1:1" x14ac:dyDescent="0.25">
      <c r="A1165" t="s">
        <v>178</v>
      </c>
    </row>
    <row r="1166" spans="1:1" x14ac:dyDescent="0.25">
      <c r="A1166" t="s">
        <v>179</v>
      </c>
    </row>
    <row r="1167" spans="1:1" x14ac:dyDescent="0.25">
      <c r="A1167" t="s">
        <v>180</v>
      </c>
    </row>
    <row r="1168" spans="1:1" x14ac:dyDescent="0.25">
      <c r="A1168" t="s">
        <v>480</v>
      </c>
    </row>
    <row r="1169" spans="1:1" x14ac:dyDescent="0.25">
      <c r="A1169" t="s">
        <v>17</v>
      </c>
    </row>
    <row r="1170" spans="1:1" x14ac:dyDescent="0.25">
      <c r="A1170" t="s">
        <v>16</v>
      </c>
    </row>
    <row r="1171" spans="1:1" x14ac:dyDescent="0.25">
      <c r="A1171" t="s">
        <v>166</v>
      </c>
    </row>
    <row r="1173" spans="1:1" x14ac:dyDescent="0.25">
      <c r="A1173" t="s">
        <v>115</v>
      </c>
    </row>
    <row r="1174" spans="1:1" x14ac:dyDescent="0.25">
      <c r="A1174" t="s">
        <v>180</v>
      </c>
    </row>
    <row r="1175" spans="1:1" x14ac:dyDescent="0.25">
      <c r="A1175" t="s">
        <v>481</v>
      </c>
    </row>
    <row r="1176" spans="1:1" x14ac:dyDescent="0.25">
      <c r="A1176" s="4">
        <v>43938.378923611112</v>
      </c>
    </row>
    <row r="1177" spans="1:1" x14ac:dyDescent="0.25">
      <c r="A1177" t="s">
        <v>482</v>
      </c>
    </row>
    <row r="1178" spans="1:1" x14ac:dyDescent="0.25">
      <c r="A1178" t="s">
        <v>483</v>
      </c>
    </row>
    <row r="1179" spans="1:1" x14ac:dyDescent="0.25">
      <c r="A1179" t="s">
        <v>119</v>
      </c>
    </row>
    <row r="1180" spans="1:1" x14ac:dyDescent="0.25">
      <c r="A1180" t="s">
        <v>484</v>
      </c>
    </row>
    <row r="1181" spans="1:1" x14ac:dyDescent="0.25">
      <c r="A1181" t="s">
        <v>32</v>
      </c>
    </row>
    <row r="1182" spans="1:1" x14ac:dyDescent="0.25">
      <c r="A1182" t="s">
        <v>33</v>
      </c>
    </row>
    <row r="1183" spans="1:1" x14ac:dyDescent="0.25">
      <c r="A1183" t="s">
        <v>34</v>
      </c>
    </row>
    <row r="1184" spans="1:1" x14ac:dyDescent="0.25">
      <c r="A1184" t="s">
        <v>35</v>
      </c>
    </row>
    <row r="1186" spans="1:1" x14ac:dyDescent="0.25">
      <c r="A1186" t="s">
        <v>485</v>
      </c>
    </row>
    <row r="1187" spans="1:1" x14ac:dyDescent="0.25">
      <c r="A1187" t="s">
        <v>44</v>
      </c>
    </row>
    <row r="1188" spans="1:1" x14ac:dyDescent="0.25">
      <c r="A1188" t="s">
        <v>45</v>
      </c>
    </row>
    <row r="1189" spans="1:1" x14ac:dyDescent="0.25">
      <c r="A1189" t="s">
        <v>46</v>
      </c>
    </row>
    <row r="1190" spans="1:1" x14ac:dyDescent="0.25">
      <c r="A1190" t="s">
        <v>47</v>
      </c>
    </row>
    <row r="1191" spans="1:1" x14ac:dyDescent="0.25">
      <c r="A1191" t="s">
        <v>48</v>
      </c>
    </row>
    <row r="1193" spans="1:1" x14ac:dyDescent="0.25">
      <c r="A1193" t="s">
        <v>486</v>
      </c>
    </row>
    <row r="1194" spans="1:1" x14ac:dyDescent="0.25">
      <c r="A1194" t="s">
        <v>57</v>
      </c>
    </row>
    <row r="1195" spans="1:1" x14ac:dyDescent="0.25">
      <c r="A1195" t="s">
        <v>58</v>
      </c>
    </row>
    <row r="1197" spans="1:1" x14ac:dyDescent="0.25">
      <c r="A1197" t="s">
        <v>487</v>
      </c>
    </row>
    <row r="1198" spans="1:1" x14ac:dyDescent="0.25">
      <c r="A1198" t="s">
        <v>65</v>
      </c>
    </row>
    <row r="1199" spans="1:1" x14ac:dyDescent="0.25">
      <c r="A1199" t="s">
        <v>488</v>
      </c>
    </row>
    <row r="1201" spans="1:1" x14ac:dyDescent="0.25">
      <c r="A1201" t="s">
        <v>489</v>
      </c>
    </row>
    <row r="1202" spans="1:1" x14ac:dyDescent="0.25">
      <c r="A1202" t="s">
        <v>76</v>
      </c>
    </row>
    <row r="1203" spans="1:1" x14ac:dyDescent="0.25">
      <c r="A1203" t="s">
        <v>30</v>
      </c>
    </row>
    <row r="1204" spans="1:1" x14ac:dyDescent="0.25">
      <c r="A1204" t="s">
        <v>81</v>
      </c>
    </row>
    <row r="1205" spans="1:1" x14ac:dyDescent="0.25">
      <c r="A1205" t="s">
        <v>82</v>
      </c>
    </row>
    <row r="1207" spans="1:1" x14ac:dyDescent="0.25">
      <c r="A1207" t="s">
        <v>490</v>
      </c>
    </row>
    <row r="1208" spans="1:1" x14ac:dyDescent="0.25">
      <c r="A1208" t="s">
        <v>491</v>
      </c>
    </row>
    <row r="1209" spans="1:1" x14ac:dyDescent="0.25">
      <c r="A1209" t="s">
        <v>93</v>
      </c>
    </row>
    <row r="1210" spans="1:1" x14ac:dyDescent="0.25">
      <c r="A1210" t="s">
        <v>94</v>
      </c>
    </row>
    <row r="1211" spans="1:1" x14ac:dyDescent="0.25">
      <c r="A1211" t="s">
        <v>492</v>
      </c>
    </row>
    <row r="1213" spans="1:1" x14ac:dyDescent="0.25">
      <c r="A1213" t="s">
        <v>493</v>
      </c>
    </row>
    <row r="1214" spans="1:1" x14ac:dyDescent="0.25">
      <c r="A1214" t="s">
        <v>494</v>
      </c>
    </row>
    <row r="1216" spans="1:1" x14ac:dyDescent="0.25">
      <c r="A1216" t="s">
        <v>495</v>
      </c>
    </row>
    <row r="1218" spans="1:1" x14ac:dyDescent="0.25">
      <c r="A1218" t="s">
        <v>496</v>
      </c>
    </row>
    <row r="1219" spans="1:1" x14ac:dyDescent="0.25">
      <c r="A1219" t="s">
        <v>497</v>
      </c>
    </row>
    <row r="1220" spans="1:1" x14ac:dyDescent="0.25">
      <c r="A1220" t="s">
        <v>498</v>
      </c>
    </row>
    <row r="1221" spans="1:1" x14ac:dyDescent="0.25">
      <c r="A1221" t="s">
        <v>499</v>
      </c>
    </row>
  </sheetData>
  <pageMargins left="0.7" right="0.7" top="0.75" bottom="0.75" header="0.3" footer="0.3"/>
  <pageSetup paperSize="9" orientation="portrait" horizontalDpi="4294967293"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35129F-50CD-49C6-8351-AE97A1E832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Home</vt:lpstr>
      <vt:lpstr>Data</vt:lpstr>
      <vt:lpstr>Prices</vt:lpstr>
      <vt:lpstr>Sheet1</vt:lpstr>
      <vt:lpstr>Sheet1!forex_rates_currencies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Carmody, Stephen</dc:creator>
  <cp:lastModifiedBy>home</cp:lastModifiedBy>
  <dcterms:created xsi:type="dcterms:W3CDTF">2020-01-06T18:59:52Z</dcterms:created>
  <dcterms:modified xsi:type="dcterms:W3CDTF">2020-09-22T05:45:48Z</dcterms:modified>
</cp:coreProperties>
</file>